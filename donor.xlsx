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138AA418-A00C-408B-AB39-FF6E58B1F90A}" xr6:coauthVersionLast="47" xr6:coauthVersionMax="47" xr10:uidLastSave="{00000000-0000-0000-0000-000000000000}"/>
  <bookViews>
    <workbookView xWindow="-108" yWindow="-108" windowWidth="23256" windowHeight="13176" activeTab="2" xr2:uid="{C720EBB8-43C4-45C3-BCFE-943BDF942CAA}"/>
  </bookViews>
  <sheets>
    <sheet name="raw_data" sheetId="2" r:id="rId1"/>
    <sheet name="Pivots" sheetId="3" r:id="rId2"/>
    <sheet name="Dashboard" sheetId="8" r:id="rId3"/>
  </sheets>
  <definedNames>
    <definedName name="ExternalData_1" localSheetId="0" hidden="1">raw_data!$A$1:$O$1001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3" l="1"/>
  <c r="B18" i="3"/>
  <c r="K8" i="3"/>
  <c r="E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E12840-FEFA-44A0-A0E8-A3C4235F2BE0}" keepAlive="1" name="Query - donor_data" description="Connection to the 'donor_data' query in the workbook." type="5" refreshedVersion="8" background="1" saveData="1">
    <dbPr connection="Provider=Microsoft.Mashup.OleDb.1;Data Source=$Workbook$;Location=donor_data;Extended Properties=&quot;&quot;" command="SELECT * FROM [donor_data]"/>
  </connection>
</connections>
</file>

<file path=xl/sharedStrings.xml><?xml version="1.0" encoding="utf-8"?>
<sst xmlns="http://schemas.openxmlformats.org/spreadsheetml/2006/main" count="6070" uniqueCount="1052">
  <si>
    <t>donor_id</t>
  </si>
  <si>
    <t>name</t>
  </si>
  <si>
    <t>age</t>
  </si>
  <si>
    <t>city</t>
  </si>
  <si>
    <t>income_bracket</t>
  </si>
  <si>
    <t>channel</t>
  </si>
  <si>
    <t>cause_supported</t>
  </si>
  <si>
    <t>num_donations</t>
  </si>
  <si>
    <t>total_donated_inr</t>
  </si>
  <si>
    <t>first_donation_date</t>
  </si>
  <si>
    <t>last_donation_date</t>
  </si>
  <si>
    <t>channel_cost_inr</t>
  </si>
  <si>
    <t>days_since_last_donation</t>
  </si>
  <si>
    <t>status</t>
  </si>
  <si>
    <t>donor_lifetime_days</t>
  </si>
  <si>
    <t>Donor_0001</t>
  </si>
  <si>
    <t>Mumbai</t>
  </si>
  <si>
    <t>&lt;2L</t>
  </si>
  <si>
    <t>Events</t>
  </si>
  <si>
    <t>Education</t>
  </si>
  <si>
    <t>Lapsed</t>
  </si>
  <si>
    <t>Donor_0002</t>
  </si>
  <si>
    <t>Lucknow</t>
  </si>
  <si>
    <t>Social Media</t>
  </si>
  <si>
    <t>Donor_0003</t>
  </si>
  <si>
    <t>2-5L</t>
  </si>
  <si>
    <t>Referral</t>
  </si>
  <si>
    <t>Environment</t>
  </si>
  <si>
    <t>Donor_0004</t>
  </si>
  <si>
    <t>Jaipur</t>
  </si>
  <si>
    <t>5-10L</t>
  </si>
  <si>
    <t>Email</t>
  </si>
  <si>
    <t>Donor_0005</t>
  </si>
  <si>
    <t>Healthcare</t>
  </si>
  <si>
    <t>Donor_0006</t>
  </si>
  <si>
    <t>Donor_0007</t>
  </si>
  <si>
    <t>10L+</t>
  </si>
  <si>
    <t>Donor_0008</t>
  </si>
  <si>
    <t>Pune</t>
  </si>
  <si>
    <t>Donor_0009</t>
  </si>
  <si>
    <t>Hyderabad</t>
  </si>
  <si>
    <t>Donor_0010</t>
  </si>
  <si>
    <t>Donor_0011</t>
  </si>
  <si>
    <t>Donor_0012</t>
  </si>
  <si>
    <t>Donor_0013</t>
  </si>
  <si>
    <t>Donor_0014</t>
  </si>
  <si>
    <t>Bangalore</t>
  </si>
  <si>
    <t>Active</t>
  </si>
  <si>
    <t>Donor_0015</t>
  </si>
  <si>
    <t>Donor_0016</t>
  </si>
  <si>
    <t>Donor_0017</t>
  </si>
  <si>
    <t>Donor_0018</t>
  </si>
  <si>
    <t>Chandigarh</t>
  </si>
  <si>
    <t>Donor_0019</t>
  </si>
  <si>
    <t>Donor_0020</t>
  </si>
  <si>
    <t>Donor_0021</t>
  </si>
  <si>
    <t>Donor_0022</t>
  </si>
  <si>
    <t>Donor_0023</t>
  </si>
  <si>
    <t>Donor_0024</t>
  </si>
  <si>
    <t>Donor_0025</t>
  </si>
  <si>
    <t>Donor_0026</t>
  </si>
  <si>
    <t>Donor_0027</t>
  </si>
  <si>
    <t>Donor_0028</t>
  </si>
  <si>
    <t>Delhi</t>
  </si>
  <si>
    <t>Donor_0029</t>
  </si>
  <si>
    <t>Donor_0030</t>
  </si>
  <si>
    <t>Donor_0031</t>
  </si>
  <si>
    <t>Donor_0032</t>
  </si>
  <si>
    <t>Donor_0033</t>
  </si>
  <si>
    <t>Donor_0034</t>
  </si>
  <si>
    <t>Donor_0035</t>
  </si>
  <si>
    <t>Donor_0036</t>
  </si>
  <si>
    <t>Donor_0037</t>
  </si>
  <si>
    <t>Donor_0038</t>
  </si>
  <si>
    <t>Donor_0039</t>
  </si>
  <si>
    <t>Donor_0040</t>
  </si>
  <si>
    <t>Donor_0041</t>
  </si>
  <si>
    <t>Donor_0042</t>
  </si>
  <si>
    <t>Donor_0043</t>
  </si>
  <si>
    <t>Donor_0044</t>
  </si>
  <si>
    <t>Donor_0045</t>
  </si>
  <si>
    <t>Donor_0046</t>
  </si>
  <si>
    <t>Donor_0047</t>
  </si>
  <si>
    <t>Donor_0048</t>
  </si>
  <si>
    <t>Donor_0049</t>
  </si>
  <si>
    <t>Donor_0050</t>
  </si>
  <si>
    <t>Donor_0051</t>
  </si>
  <si>
    <t>Donor_0052</t>
  </si>
  <si>
    <t>Donor_0053</t>
  </si>
  <si>
    <t>Donor_0054</t>
  </si>
  <si>
    <t>Donor_0055</t>
  </si>
  <si>
    <t>Donor_0056</t>
  </si>
  <si>
    <t>Donor_0057</t>
  </si>
  <si>
    <t>Donor_0058</t>
  </si>
  <si>
    <t>Donor_0059</t>
  </si>
  <si>
    <t>Donor_0060</t>
  </si>
  <si>
    <t>Donor_0061</t>
  </si>
  <si>
    <t>Donor_0062</t>
  </si>
  <si>
    <t>Donor_0063</t>
  </si>
  <si>
    <t>Donor_0064</t>
  </si>
  <si>
    <t>Donor_0065</t>
  </si>
  <si>
    <t>Donor_0066</t>
  </si>
  <si>
    <t>Donor_0067</t>
  </si>
  <si>
    <t>Donor_0068</t>
  </si>
  <si>
    <t>Donor_0069</t>
  </si>
  <si>
    <t>Donor_0070</t>
  </si>
  <si>
    <t>Donor_0071</t>
  </si>
  <si>
    <t>Donor_0072</t>
  </si>
  <si>
    <t>Donor_0073</t>
  </si>
  <si>
    <t>Donor_0074</t>
  </si>
  <si>
    <t>Donor_0075</t>
  </si>
  <si>
    <t>Donor_0076</t>
  </si>
  <si>
    <t>Donor_0077</t>
  </si>
  <si>
    <t>Donor_0078</t>
  </si>
  <si>
    <t>Donor_0079</t>
  </si>
  <si>
    <t>Donor_0080</t>
  </si>
  <si>
    <t>Donor_0081</t>
  </si>
  <si>
    <t>Donor_0082</t>
  </si>
  <si>
    <t>Donor_0083</t>
  </si>
  <si>
    <t>Donor_0084</t>
  </si>
  <si>
    <t>Donor_0085</t>
  </si>
  <si>
    <t>Donor_0086</t>
  </si>
  <si>
    <t>Donor_0087</t>
  </si>
  <si>
    <t>Donor_0088</t>
  </si>
  <si>
    <t>Donor_0089</t>
  </si>
  <si>
    <t>Donor_0090</t>
  </si>
  <si>
    <t>Donor_0091</t>
  </si>
  <si>
    <t>Donor_0092</t>
  </si>
  <si>
    <t>Donor_0093</t>
  </si>
  <si>
    <t>Donor_0094</t>
  </si>
  <si>
    <t>Donor_0095</t>
  </si>
  <si>
    <t>Donor_0096</t>
  </si>
  <si>
    <t>Donor_0097</t>
  </si>
  <si>
    <t>Donor_0098</t>
  </si>
  <si>
    <t>Donor_0099</t>
  </si>
  <si>
    <t>Donor_0100</t>
  </si>
  <si>
    <t>Donor_0101</t>
  </si>
  <si>
    <t>Donor_0102</t>
  </si>
  <si>
    <t>Donor_0103</t>
  </si>
  <si>
    <t>Donor_0104</t>
  </si>
  <si>
    <t>Donor_0105</t>
  </si>
  <si>
    <t>Donor_0106</t>
  </si>
  <si>
    <t>Donor_0107</t>
  </si>
  <si>
    <t>Donor_0108</t>
  </si>
  <si>
    <t>Donor_0109</t>
  </si>
  <si>
    <t>Donor_0110</t>
  </si>
  <si>
    <t>Donor_0111</t>
  </si>
  <si>
    <t>Donor_0112</t>
  </si>
  <si>
    <t>Donor_0113</t>
  </si>
  <si>
    <t>Donor_0114</t>
  </si>
  <si>
    <t>Donor_0115</t>
  </si>
  <si>
    <t>Donor_0116</t>
  </si>
  <si>
    <t>Donor_0117</t>
  </si>
  <si>
    <t>Donor_0118</t>
  </si>
  <si>
    <t>Donor_0119</t>
  </si>
  <si>
    <t>Donor_0120</t>
  </si>
  <si>
    <t>Donor_0121</t>
  </si>
  <si>
    <t>Donor_0122</t>
  </si>
  <si>
    <t>Donor_0123</t>
  </si>
  <si>
    <t>Donor_0124</t>
  </si>
  <si>
    <t>Donor_0125</t>
  </si>
  <si>
    <t>Donor_0126</t>
  </si>
  <si>
    <t>Donor_0127</t>
  </si>
  <si>
    <t>Donor_0128</t>
  </si>
  <si>
    <t>Donor_0129</t>
  </si>
  <si>
    <t>Donor_0130</t>
  </si>
  <si>
    <t>Donor_0131</t>
  </si>
  <si>
    <t>Donor_0132</t>
  </si>
  <si>
    <t>Donor_0133</t>
  </si>
  <si>
    <t>Donor_0134</t>
  </si>
  <si>
    <t>Donor_0135</t>
  </si>
  <si>
    <t>Donor_0136</t>
  </si>
  <si>
    <t>Donor_0137</t>
  </si>
  <si>
    <t>Donor_0138</t>
  </si>
  <si>
    <t>Donor_0139</t>
  </si>
  <si>
    <t>Donor_0140</t>
  </si>
  <si>
    <t>Donor_0141</t>
  </si>
  <si>
    <t>Donor_0142</t>
  </si>
  <si>
    <t>Donor_0143</t>
  </si>
  <si>
    <t>Donor_0144</t>
  </si>
  <si>
    <t>Donor_0145</t>
  </si>
  <si>
    <t>Donor_0146</t>
  </si>
  <si>
    <t>Donor_0147</t>
  </si>
  <si>
    <t>Donor_0148</t>
  </si>
  <si>
    <t>Donor_0149</t>
  </si>
  <si>
    <t>Donor_0150</t>
  </si>
  <si>
    <t>Donor_0151</t>
  </si>
  <si>
    <t>Donor_0152</t>
  </si>
  <si>
    <t>Donor_0153</t>
  </si>
  <si>
    <t>Donor_0154</t>
  </si>
  <si>
    <t>Donor_0155</t>
  </si>
  <si>
    <t>Donor_0156</t>
  </si>
  <si>
    <t>Donor_0157</t>
  </si>
  <si>
    <t>Donor_0158</t>
  </si>
  <si>
    <t>Donor_0159</t>
  </si>
  <si>
    <t>Donor_0160</t>
  </si>
  <si>
    <t>Donor_0161</t>
  </si>
  <si>
    <t>Donor_0162</t>
  </si>
  <si>
    <t>Donor_0163</t>
  </si>
  <si>
    <t>Donor_0164</t>
  </si>
  <si>
    <t>Donor_0165</t>
  </si>
  <si>
    <t>Donor_0166</t>
  </si>
  <si>
    <t>Donor_0167</t>
  </si>
  <si>
    <t>Donor_0168</t>
  </si>
  <si>
    <t>Donor_0169</t>
  </si>
  <si>
    <t>Donor_0170</t>
  </si>
  <si>
    <t>Donor_0171</t>
  </si>
  <si>
    <t>Donor_0172</t>
  </si>
  <si>
    <t>Donor_0173</t>
  </si>
  <si>
    <t>Donor_0174</t>
  </si>
  <si>
    <t>Donor_0175</t>
  </si>
  <si>
    <t>Donor_0176</t>
  </si>
  <si>
    <t>Donor_0177</t>
  </si>
  <si>
    <t>Donor_0178</t>
  </si>
  <si>
    <t>Donor_0179</t>
  </si>
  <si>
    <t>Donor_0180</t>
  </si>
  <si>
    <t>Donor_0181</t>
  </si>
  <si>
    <t>Donor_0182</t>
  </si>
  <si>
    <t>Donor_0183</t>
  </si>
  <si>
    <t>Donor_0184</t>
  </si>
  <si>
    <t>Donor_0185</t>
  </si>
  <si>
    <t>Donor_0186</t>
  </si>
  <si>
    <t>Donor_0187</t>
  </si>
  <si>
    <t>Donor_0188</t>
  </si>
  <si>
    <t>Donor_0189</t>
  </si>
  <si>
    <t>Donor_0190</t>
  </si>
  <si>
    <t>Donor_0191</t>
  </si>
  <si>
    <t>Donor_0192</t>
  </si>
  <si>
    <t>Donor_0193</t>
  </si>
  <si>
    <t>Donor_0194</t>
  </si>
  <si>
    <t>Donor_0195</t>
  </si>
  <si>
    <t>Donor_0196</t>
  </si>
  <si>
    <t>Donor_0197</t>
  </si>
  <si>
    <t>Donor_0198</t>
  </si>
  <si>
    <t>Donor_0199</t>
  </si>
  <si>
    <t>Donor_0200</t>
  </si>
  <si>
    <t>Donor_0201</t>
  </si>
  <si>
    <t>Donor_0202</t>
  </si>
  <si>
    <t>Donor_0203</t>
  </si>
  <si>
    <t>Donor_0204</t>
  </si>
  <si>
    <t>Donor_0205</t>
  </si>
  <si>
    <t>Donor_0206</t>
  </si>
  <si>
    <t>Donor_0207</t>
  </si>
  <si>
    <t>Donor_0208</t>
  </si>
  <si>
    <t>Donor_0209</t>
  </si>
  <si>
    <t>Donor_0210</t>
  </si>
  <si>
    <t>Donor_0211</t>
  </si>
  <si>
    <t>Donor_0212</t>
  </si>
  <si>
    <t>Donor_0213</t>
  </si>
  <si>
    <t>Donor_0214</t>
  </si>
  <si>
    <t>Donor_0215</t>
  </si>
  <si>
    <t>Donor_0216</t>
  </si>
  <si>
    <t>Donor_0217</t>
  </si>
  <si>
    <t>Donor_0218</t>
  </si>
  <si>
    <t>Donor_0219</t>
  </si>
  <si>
    <t>Donor_0220</t>
  </si>
  <si>
    <t>Donor_0221</t>
  </si>
  <si>
    <t>Donor_0222</t>
  </si>
  <si>
    <t>Donor_0223</t>
  </si>
  <si>
    <t>Donor_0224</t>
  </si>
  <si>
    <t>Donor_0225</t>
  </si>
  <si>
    <t>Donor_0226</t>
  </si>
  <si>
    <t>Donor_0227</t>
  </si>
  <si>
    <t>Donor_0228</t>
  </si>
  <si>
    <t>Donor_0229</t>
  </si>
  <si>
    <t>Donor_0230</t>
  </si>
  <si>
    <t>Donor_0231</t>
  </si>
  <si>
    <t>Donor_0232</t>
  </si>
  <si>
    <t>Donor_0233</t>
  </si>
  <si>
    <t>Donor_0234</t>
  </si>
  <si>
    <t>Donor_0235</t>
  </si>
  <si>
    <t>Donor_0236</t>
  </si>
  <si>
    <t>Donor_0237</t>
  </si>
  <si>
    <t>Donor_0238</t>
  </si>
  <si>
    <t>Donor_0239</t>
  </si>
  <si>
    <t>Donor_0240</t>
  </si>
  <si>
    <t>Donor_0241</t>
  </si>
  <si>
    <t>Donor_0242</t>
  </si>
  <si>
    <t>Donor_0243</t>
  </si>
  <si>
    <t>Donor_0244</t>
  </si>
  <si>
    <t>Donor_0245</t>
  </si>
  <si>
    <t>Donor_0246</t>
  </si>
  <si>
    <t>Donor_0247</t>
  </si>
  <si>
    <t>Donor_0248</t>
  </si>
  <si>
    <t>Donor_0249</t>
  </si>
  <si>
    <t>Donor_0250</t>
  </si>
  <si>
    <t>Donor_0251</t>
  </si>
  <si>
    <t>Donor_0252</t>
  </si>
  <si>
    <t>Donor_0253</t>
  </si>
  <si>
    <t>Donor_0254</t>
  </si>
  <si>
    <t>Donor_0255</t>
  </si>
  <si>
    <t>Donor_0256</t>
  </si>
  <si>
    <t>Donor_0257</t>
  </si>
  <si>
    <t>Donor_0258</t>
  </si>
  <si>
    <t>Donor_0259</t>
  </si>
  <si>
    <t>Donor_0260</t>
  </si>
  <si>
    <t>Donor_0261</t>
  </si>
  <si>
    <t>Donor_0262</t>
  </si>
  <si>
    <t>Donor_0263</t>
  </si>
  <si>
    <t>Donor_0264</t>
  </si>
  <si>
    <t>Donor_0265</t>
  </si>
  <si>
    <t>Donor_0266</t>
  </si>
  <si>
    <t>Donor_0267</t>
  </si>
  <si>
    <t>Donor_0268</t>
  </si>
  <si>
    <t>Donor_0269</t>
  </si>
  <si>
    <t>Donor_0270</t>
  </si>
  <si>
    <t>Donor_0271</t>
  </si>
  <si>
    <t>Donor_0272</t>
  </si>
  <si>
    <t>Donor_0273</t>
  </si>
  <si>
    <t>Donor_0274</t>
  </si>
  <si>
    <t>Donor_0275</t>
  </si>
  <si>
    <t>Donor_0276</t>
  </si>
  <si>
    <t>Donor_0277</t>
  </si>
  <si>
    <t>Donor_0278</t>
  </si>
  <si>
    <t>Donor_0279</t>
  </si>
  <si>
    <t>Donor_0280</t>
  </si>
  <si>
    <t>Donor_0281</t>
  </si>
  <si>
    <t>Donor_0282</t>
  </si>
  <si>
    <t>Donor_0283</t>
  </si>
  <si>
    <t>Donor_0284</t>
  </si>
  <si>
    <t>Donor_0285</t>
  </si>
  <si>
    <t>Donor_0286</t>
  </si>
  <si>
    <t>Donor_0287</t>
  </si>
  <si>
    <t>Donor_0288</t>
  </si>
  <si>
    <t>Donor_0289</t>
  </si>
  <si>
    <t>Donor_0290</t>
  </si>
  <si>
    <t>Donor_0291</t>
  </si>
  <si>
    <t>Donor_0292</t>
  </si>
  <si>
    <t>Donor_0293</t>
  </si>
  <si>
    <t>Donor_0294</t>
  </si>
  <si>
    <t>Donor_0295</t>
  </si>
  <si>
    <t>Donor_0296</t>
  </si>
  <si>
    <t>Donor_0297</t>
  </si>
  <si>
    <t>Donor_0298</t>
  </si>
  <si>
    <t>Donor_0299</t>
  </si>
  <si>
    <t>Donor_0300</t>
  </si>
  <si>
    <t>Donor_0301</t>
  </si>
  <si>
    <t>Donor_0302</t>
  </si>
  <si>
    <t>Donor_0303</t>
  </si>
  <si>
    <t>Donor_0304</t>
  </si>
  <si>
    <t>Donor_0305</t>
  </si>
  <si>
    <t>Donor_0306</t>
  </si>
  <si>
    <t>Donor_0307</t>
  </si>
  <si>
    <t>Donor_0308</t>
  </si>
  <si>
    <t>Donor_0309</t>
  </si>
  <si>
    <t>Donor_0310</t>
  </si>
  <si>
    <t>Donor_0311</t>
  </si>
  <si>
    <t>Donor_0312</t>
  </si>
  <si>
    <t>Donor_0313</t>
  </si>
  <si>
    <t>Donor_0314</t>
  </si>
  <si>
    <t>Donor_0315</t>
  </si>
  <si>
    <t>Donor_0316</t>
  </si>
  <si>
    <t>Donor_0317</t>
  </si>
  <si>
    <t>Donor_0318</t>
  </si>
  <si>
    <t>Donor_0319</t>
  </si>
  <si>
    <t>Donor_0320</t>
  </si>
  <si>
    <t>Donor_0321</t>
  </si>
  <si>
    <t>Donor_0322</t>
  </si>
  <si>
    <t>Donor_0323</t>
  </si>
  <si>
    <t>Donor_0324</t>
  </si>
  <si>
    <t>Donor_0325</t>
  </si>
  <si>
    <t>Donor_0326</t>
  </si>
  <si>
    <t>Donor_0327</t>
  </si>
  <si>
    <t>Donor_0328</t>
  </si>
  <si>
    <t>Donor_0329</t>
  </si>
  <si>
    <t>Donor_0330</t>
  </si>
  <si>
    <t>Donor_0331</t>
  </si>
  <si>
    <t>Donor_0332</t>
  </si>
  <si>
    <t>Donor_0333</t>
  </si>
  <si>
    <t>Donor_0334</t>
  </si>
  <si>
    <t>Donor_0335</t>
  </si>
  <si>
    <t>Donor_0336</t>
  </si>
  <si>
    <t>Donor_0337</t>
  </si>
  <si>
    <t>Donor_0338</t>
  </si>
  <si>
    <t>Donor_0339</t>
  </si>
  <si>
    <t>Donor_0340</t>
  </si>
  <si>
    <t>Donor_0341</t>
  </si>
  <si>
    <t>Donor_0342</t>
  </si>
  <si>
    <t>Donor_0343</t>
  </si>
  <si>
    <t>Donor_0344</t>
  </si>
  <si>
    <t>Donor_0345</t>
  </si>
  <si>
    <t>Donor_0346</t>
  </si>
  <si>
    <t>Donor_0347</t>
  </si>
  <si>
    <t>Donor_0348</t>
  </si>
  <si>
    <t>Donor_0349</t>
  </si>
  <si>
    <t>Donor_0350</t>
  </si>
  <si>
    <t>Donor_0351</t>
  </si>
  <si>
    <t>Donor_0352</t>
  </si>
  <si>
    <t>Donor_0353</t>
  </si>
  <si>
    <t>Donor_0354</t>
  </si>
  <si>
    <t>Donor_0355</t>
  </si>
  <si>
    <t>Donor_0356</t>
  </si>
  <si>
    <t>Donor_0357</t>
  </si>
  <si>
    <t>Donor_0358</t>
  </si>
  <si>
    <t>Donor_0359</t>
  </si>
  <si>
    <t>Donor_0360</t>
  </si>
  <si>
    <t>Donor_0361</t>
  </si>
  <si>
    <t>Donor_0362</t>
  </si>
  <si>
    <t>Donor_0363</t>
  </si>
  <si>
    <t>Donor_0364</t>
  </si>
  <si>
    <t>Donor_0365</t>
  </si>
  <si>
    <t>Donor_0366</t>
  </si>
  <si>
    <t>Donor_0367</t>
  </si>
  <si>
    <t>Donor_0368</t>
  </si>
  <si>
    <t>Donor_0369</t>
  </si>
  <si>
    <t>Donor_0370</t>
  </si>
  <si>
    <t>Donor_0371</t>
  </si>
  <si>
    <t>Donor_0372</t>
  </si>
  <si>
    <t>Donor_0373</t>
  </si>
  <si>
    <t>Donor_0374</t>
  </si>
  <si>
    <t>Donor_0375</t>
  </si>
  <si>
    <t>Donor_0376</t>
  </si>
  <si>
    <t>Donor_0377</t>
  </si>
  <si>
    <t>Donor_0378</t>
  </si>
  <si>
    <t>Donor_0379</t>
  </si>
  <si>
    <t>Donor_0380</t>
  </si>
  <si>
    <t>Donor_0381</t>
  </si>
  <si>
    <t>Donor_0382</t>
  </si>
  <si>
    <t>Donor_0383</t>
  </si>
  <si>
    <t>Donor_0384</t>
  </si>
  <si>
    <t>Donor_0385</t>
  </si>
  <si>
    <t>Donor_0386</t>
  </si>
  <si>
    <t>Donor_0387</t>
  </si>
  <si>
    <t>Donor_0388</t>
  </si>
  <si>
    <t>Donor_0389</t>
  </si>
  <si>
    <t>Donor_0390</t>
  </si>
  <si>
    <t>Donor_0391</t>
  </si>
  <si>
    <t>Donor_0392</t>
  </si>
  <si>
    <t>Donor_0393</t>
  </si>
  <si>
    <t>Donor_0394</t>
  </si>
  <si>
    <t>Donor_0395</t>
  </si>
  <si>
    <t>Donor_0396</t>
  </si>
  <si>
    <t>Donor_0397</t>
  </si>
  <si>
    <t>Donor_0398</t>
  </si>
  <si>
    <t>Donor_0399</t>
  </si>
  <si>
    <t>Donor_0400</t>
  </si>
  <si>
    <t>Donor_0401</t>
  </si>
  <si>
    <t>Donor_0402</t>
  </si>
  <si>
    <t>Donor_0403</t>
  </si>
  <si>
    <t>Donor_0404</t>
  </si>
  <si>
    <t>Donor_0405</t>
  </si>
  <si>
    <t>Donor_0406</t>
  </si>
  <si>
    <t>Donor_0407</t>
  </si>
  <si>
    <t>Donor_0408</t>
  </si>
  <si>
    <t>Donor_0409</t>
  </si>
  <si>
    <t>Donor_0410</t>
  </si>
  <si>
    <t>Donor_0411</t>
  </si>
  <si>
    <t>Donor_0412</t>
  </si>
  <si>
    <t>Donor_0413</t>
  </si>
  <si>
    <t>Donor_0414</t>
  </si>
  <si>
    <t>Donor_0415</t>
  </si>
  <si>
    <t>Donor_0416</t>
  </si>
  <si>
    <t>Donor_0417</t>
  </si>
  <si>
    <t>Donor_0418</t>
  </si>
  <si>
    <t>Donor_0419</t>
  </si>
  <si>
    <t>Donor_0420</t>
  </si>
  <si>
    <t>Donor_0421</t>
  </si>
  <si>
    <t>Donor_0422</t>
  </si>
  <si>
    <t>Donor_0423</t>
  </si>
  <si>
    <t>Donor_0424</t>
  </si>
  <si>
    <t>Donor_0425</t>
  </si>
  <si>
    <t>Donor_0426</t>
  </si>
  <si>
    <t>Donor_0427</t>
  </si>
  <si>
    <t>Donor_0428</t>
  </si>
  <si>
    <t>Donor_0429</t>
  </si>
  <si>
    <t>Donor_0430</t>
  </si>
  <si>
    <t>Donor_0431</t>
  </si>
  <si>
    <t>Donor_0432</t>
  </si>
  <si>
    <t>Donor_0433</t>
  </si>
  <si>
    <t>Donor_0434</t>
  </si>
  <si>
    <t>Donor_0435</t>
  </si>
  <si>
    <t>Donor_0436</t>
  </si>
  <si>
    <t>Donor_0437</t>
  </si>
  <si>
    <t>Donor_0438</t>
  </si>
  <si>
    <t>Donor_0439</t>
  </si>
  <si>
    <t>Donor_0440</t>
  </si>
  <si>
    <t>Donor_0441</t>
  </si>
  <si>
    <t>Donor_0442</t>
  </si>
  <si>
    <t>Donor_0443</t>
  </si>
  <si>
    <t>Donor_0444</t>
  </si>
  <si>
    <t>Donor_0445</t>
  </si>
  <si>
    <t>Donor_0446</t>
  </si>
  <si>
    <t>Donor_0447</t>
  </si>
  <si>
    <t>Donor_0448</t>
  </si>
  <si>
    <t>Donor_0449</t>
  </si>
  <si>
    <t>Donor_0450</t>
  </si>
  <si>
    <t>Donor_0451</t>
  </si>
  <si>
    <t>Donor_0452</t>
  </si>
  <si>
    <t>Donor_0453</t>
  </si>
  <si>
    <t>Donor_0454</t>
  </si>
  <si>
    <t>Donor_0455</t>
  </si>
  <si>
    <t>Donor_0456</t>
  </si>
  <si>
    <t>Donor_0457</t>
  </si>
  <si>
    <t>Donor_0458</t>
  </si>
  <si>
    <t>Donor_0459</t>
  </si>
  <si>
    <t>Donor_0460</t>
  </si>
  <si>
    <t>Donor_0461</t>
  </si>
  <si>
    <t>Donor_0462</t>
  </si>
  <si>
    <t>Donor_0463</t>
  </si>
  <si>
    <t>Donor_0464</t>
  </si>
  <si>
    <t>Donor_0465</t>
  </si>
  <si>
    <t>Donor_0466</t>
  </si>
  <si>
    <t>Donor_0467</t>
  </si>
  <si>
    <t>Donor_0468</t>
  </si>
  <si>
    <t>Donor_0469</t>
  </si>
  <si>
    <t>Donor_0470</t>
  </si>
  <si>
    <t>Donor_0471</t>
  </si>
  <si>
    <t>Donor_0472</t>
  </si>
  <si>
    <t>Donor_0473</t>
  </si>
  <si>
    <t>Donor_0474</t>
  </si>
  <si>
    <t>Donor_0475</t>
  </si>
  <si>
    <t>Donor_0476</t>
  </si>
  <si>
    <t>Donor_0477</t>
  </si>
  <si>
    <t>Donor_0478</t>
  </si>
  <si>
    <t>Donor_0479</t>
  </si>
  <si>
    <t>Donor_0480</t>
  </si>
  <si>
    <t>Donor_0481</t>
  </si>
  <si>
    <t>Donor_0482</t>
  </si>
  <si>
    <t>Donor_0483</t>
  </si>
  <si>
    <t>Donor_0484</t>
  </si>
  <si>
    <t>Donor_0485</t>
  </si>
  <si>
    <t>Donor_0486</t>
  </si>
  <si>
    <t>Donor_0487</t>
  </si>
  <si>
    <t>Donor_0488</t>
  </si>
  <si>
    <t>Donor_0489</t>
  </si>
  <si>
    <t>Donor_0490</t>
  </si>
  <si>
    <t>Donor_0491</t>
  </si>
  <si>
    <t>Donor_0492</t>
  </si>
  <si>
    <t>Donor_0493</t>
  </si>
  <si>
    <t>Donor_0494</t>
  </si>
  <si>
    <t>Donor_0495</t>
  </si>
  <si>
    <t>Donor_0496</t>
  </si>
  <si>
    <t>Donor_0497</t>
  </si>
  <si>
    <t>Donor_0498</t>
  </si>
  <si>
    <t>Donor_0499</t>
  </si>
  <si>
    <t>Donor_0500</t>
  </si>
  <si>
    <t>Donor_0501</t>
  </si>
  <si>
    <t>Donor_0502</t>
  </si>
  <si>
    <t>Donor_0503</t>
  </si>
  <si>
    <t>Donor_0504</t>
  </si>
  <si>
    <t>Donor_0505</t>
  </si>
  <si>
    <t>Donor_0506</t>
  </si>
  <si>
    <t>Donor_0507</t>
  </si>
  <si>
    <t>Donor_0508</t>
  </si>
  <si>
    <t>Donor_0509</t>
  </si>
  <si>
    <t>Donor_0510</t>
  </si>
  <si>
    <t>Donor_0511</t>
  </si>
  <si>
    <t>Donor_0512</t>
  </si>
  <si>
    <t>Donor_0513</t>
  </si>
  <si>
    <t>Donor_0514</t>
  </si>
  <si>
    <t>Donor_0515</t>
  </si>
  <si>
    <t>Donor_0516</t>
  </si>
  <si>
    <t>Donor_0517</t>
  </si>
  <si>
    <t>Donor_0518</t>
  </si>
  <si>
    <t>Donor_0519</t>
  </si>
  <si>
    <t>Donor_0520</t>
  </si>
  <si>
    <t>Donor_0521</t>
  </si>
  <si>
    <t>Donor_0522</t>
  </si>
  <si>
    <t>Donor_0523</t>
  </si>
  <si>
    <t>Donor_0524</t>
  </si>
  <si>
    <t>Donor_0525</t>
  </si>
  <si>
    <t>Donor_0526</t>
  </si>
  <si>
    <t>Donor_0527</t>
  </si>
  <si>
    <t>Donor_0528</t>
  </si>
  <si>
    <t>Donor_0529</t>
  </si>
  <si>
    <t>Donor_0530</t>
  </si>
  <si>
    <t>Donor_0531</t>
  </si>
  <si>
    <t>Donor_0532</t>
  </si>
  <si>
    <t>Donor_0533</t>
  </si>
  <si>
    <t>Donor_0534</t>
  </si>
  <si>
    <t>Donor_0535</t>
  </si>
  <si>
    <t>Donor_0536</t>
  </si>
  <si>
    <t>Donor_0537</t>
  </si>
  <si>
    <t>Donor_0538</t>
  </si>
  <si>
    <t>Donor_0539</t>
  </si>
  <si>
    <t>Donor_0540</t>
  </si>
  <si>
    <t>Donor_0541</t>
  </si>
  <si>
    <t>Donor_0542</t>
  </si>
  <si>
    <t>Donor_0543</t>
  </si>
  <si>
    <t>Donor_0544</t>
  </si>
  <si>
    <t>Donor_0545</t>
  </si>
  <si>
    <t>Donor_0546</t>
  </si>
  <si>
    <t>Donor_0547</t>
  </si>
  <si>
    <t>Donor_0548</t>
  </si>
  <si>
    <t>Donor_0549</t>
  </si>
  <si>
    <t>Donor_0550</t>
  </si>
  <si>
    <t>Donor_0551</t>
  </si>
  <si>
    <t>Donor_0552</t>
  </si>
  <si>
    <t>Donor_0553</t>
  </si>
  <si>
    <t>Donor_0554</t>
  </si>
  <si>
    <t>Donor_0555</t>
  </si>
  <si>
    <t>Donor_0556</t>
  </si>
  <si>
    <t>Donor_0557</t>
  </si>
  <si>
    <t>Donor_0558</t>
  </si>
  <si>
    <t>Donor_0559</t>
  </si>
  <si>
    <t>Donor_0560</t>
  </si>
  <si>
    <t>Donor_0561</t>
  </si>
  <si>
    <t>Donor_0562</t>
  </si>
  <si>
    <t>Donor_0563</t>
  </si>
  <si>
    <t>Donor_0564</t>
  </si>
  <si>
    <t>Donor_0565</t>
  </si>
  <si>
    <t>Donor_0566</t>
  </si>
  <si>
    <t>Donor_0567</t>
  </si>
  <si>
    <t>Donor_0568</t>
  </si>
  <si>
    <t>Donor_0569</t>
  </si>
  <si>
    <t>Donor_0570</t>
  </si>
  <si>
    <t>Donor_0571</t>
  </si>
  <si>
    <t>Donor_0572</t>
  </si>
  <si>
    <t>Donor_0573</t>
  </si>
  <si>
    <t>Donor_0574</t>
  </si>
  <si>
    <t>Donor_0575</t>
  </si>
  <si>
    <t>Donor_0576</t>
  </si>
  <si>
    <t>Donor_0577</t>
  </si>
  <si>
    <t>Donor_0578</t>
  </si>
  <si>
    <t>Donor_0579</t>
  </si>
  <si>
    <t>Donor_0580</t>
  </si>
  <si>
    <t>Donor_0581</t>
  </si>
  <si>
    <t>Donor_0582</t>
  </si>
  <si>
    <t>Donor_0583</t>
  </si>
  <si>
    <t>Donor_0584</t>
  </si>
  <si>
    <t>Donor_0585</t>
  </si>
  <si>
    <t>Donor_0586</t>
  </si>
  <si>
    <t>Donor_0587</t>
  </si>
  <si>
    <t>Donor_0588</t>
  </si>
  <si>
    <t>Donor_0589</t>
  </si>
  <si>
    <t>Donor_0590</t>
  </si>
  <si>
    <t>Donor_0591</t>
  </si>
  <si>
    <t>Donor_0592</t>
  </si>
  <si>
    <t>Donor_0593</t>
  </si>
  <si>
    <t>Donor_0594</t>
  </si>
  <si>
    <t>Donor_0595</t>
  </si>
  <si>
    <t>Donor_0596</t>
  </si>
  <si>
    <t>Donor_0597</t>
  </si>
  <si>
    <t>Donor_0598</t>
  </si>
  <si>
    <t>Donor_0599</t>
  </si>
  <si>
    <t>Donor_0600</t>
  </si>
  <si>
    <t>Donor_0601</t>
  </si>
  <si>
    <t>Donor_0602</t>
  </si>
  <si>
    <t>Donor_0603</t>
  </si>
  <si>
    <t>Donor_0604</t>
  </si>
  <si>
    <t>Donor_0605</t>
  </si>
  <si>
    <t>Donor_0606</t>
  </si>
  <si>
    <t>Donor_0607</t>
  </si>
  <si>
    <t>Donor_0608</t>
  </si>
  <si>
    <t>Donor_0609</t>
  </si>
  <si>
    <t>Donor_0610</t>
  </si>
  <si>
    <t>Donor_0611</t>
  </si>
  <si>
    <t>Donor_0612</t>
  </si>
  <si>
    <t>Donor_0613</t>
  </si>
  <si>
    <t>Donor_0614</t>
  </si>
  <si>
    <t>Donor_0615</t>
  </si>
  <si>
    <t>Donor_0616</t>
  </si>
  <si>
    <t>Donor_0617</t>
  </si>
  <si>
    <t>Donor_0618</t>
  </si>
  <si>
    <t>Donor_0619</t>
  </si>
  <si>
    <t>Donor_0620</t>
  </si>
  <si>
    <t>Donor_0621</t>
  </si>
  <si>
    <t>Donor_0622</t>
  </si>
  <si>
    <t>Donor_0623</t>
  </si>
  <si>
    <t>Donor_0624</t>
  </si>
  <si>
    <t>Donor_0625</t>
  </si>
  <si>
    <t>Donor_0626</t>
  </si>
  <si>
    <t>Donor_0627</t>
  </si>
  <si>
    <t>Donor_0628</t>
  </si>
  <si>
    <t>Donor_0629</t>
  </si>
  <si>
    <t>Donor_0630</t>
  </si>
  <si>
    <t>Donor_0631</t>
  </si>
  <si>
    <t>Donor_0632</t>
  </si>
  <si>
    <t>Donor_0633</t>
  </si>
  <si>
    <t>Donor_0634</t>
  </si>
  <si>
    <t>Donor_0635</t>
  </si>
  <si>
    <t>Donor_0636</t>
  </si>
  <si>
    <t>Donor_0637</t>
  </si>
  <si>
    <t>Donor_0638</t>
  </si>
  <si>
    <t>Donor_0639</t>
  </si>
  <si>
    <t>Donor_0640</t>
  </si>
  <si>
    <t>Donor_0641</t>
  </si>
  <si>
    <t>Donor_0642</t>
  </si>
  <si>
    <t>Donor_0643</t>
  </si>
  <si>
    <t>Donor_0644</t>
  </si>
  <si>
    <t>Donor_0645</t>
  </si>
  <si>
    <t>Donor_0646</t>
  </si>
  <si>
    <t>Donor_0647</t>
  </si>
  <si>
    <t>Donor_0648</t>
  </si>
  <si>
    <t>Donor_0649</t>
  </si>
  <si>
    <t>Donor_0650</t>
  </si>
  <si>
    <t>Donor_0651</t>
  </si>
  <si>
    <t>Donor_0652</t>
  </si>
  <si>
    <t>Donor_0653</t>
  </si>
  <si>
    <t>Donor_0654</t>
  </si>
  <si>
    <t>Donor_0655</t>
  </si>
  <si>
    <t>Donor_0656</t>
  </si>
  <si>
    <t>Donor_0657</t>
  </si>
  <si>
    <t>Donor_0658</t>
  </si>
  <si>
    <t>Donor_0659</t>
  </si>
  <si>
    <t>Donor_0660</t>
  </si>
  <si>
    <t>Donor_0661</t>
  </si>
  <si>
    <t>Donor_0662</t>
  </si>
  <si>
    <t>Donor_0663</t>
  </si>
  <si>
    <t>Donor_0664</t>
  </si>
  <si>
    <t>Donor_0665</t>
  </si>
  <si>
    <t>Donor_0666</t>
  </si>
  <si>
    <t>Donor_0667</t>
  </si>
  <si>
    <t>Donor_0668</t>
  </si>
  <si>
    <t>Donor_0669</t>
  </si>
  <si>
    <t>Donor_0670</t>
  </si>
  <si>
    <t>Donor_0671</t>
  </si>
  <si>
    <t>Donor_0672</t>
  </si>
  <si>
    <t>Donor_0673</t>
  </si>
  <si>
    <t>Donor_0674</t>
  </si>
  <si>
    <t>Donor_0675</t>
  </si>
  <si>
    <t>Donor_0676</t>
  </si>
  <si>
    <t>Donor_0677</t>
  </si>
  <si>
    <t>Donor_0678</t>
  </si>
  <si>
    <t>Donor_0679</t>
  </si>
  <si>
    <t>Donor_0680</t>
  </si>
  <si>
    <t>Donor_0681</t>
  </si>
  <si>
    <t>Donor_0682</t>
  </si>
  <si>
    <t>Donor_0683</t>
  </si>
  <si>
    <t>Donor_0684</t>
  </si>
  <si>
    <t>Donor_0685</t>
  </si>
  <si>
    <t>Donor_0686</t>
  </si>
  <si>
    <t>Donor_0687</t>
  </si>
  <si>
    <t>Donor_0688</t>
  </si>
  <si>
    <t>Donor_0689</t>
  </si>
  <si>
    <t>Donor_0690</t>
  </si>
  <si>
    <t>Donor_0691</t>
  </si>
  <si>
    <t>Donor_0692</t>
  </si>
  <si>
    <t>Donor_0693</t>
  </si>
  <si>
    <t>Donor_0694</t>
  </si>
  <si>
    <t>Donor_0695</t>
  </si>
  <si>
    <t>Donor_0696</t>
  </si>
  <si>
    <t>Donor_0697</t>
  </si>
  <si>
    <t>Donor_0698</t>
  </si>
  <si>
    <t>Donor_0699</t>
  </si>
  <si>
    <t>Donor_0700</t>
  </si>
  <si>
    <t>Donor_0701</t>
  </si>
  <si>
    <t>Donor_0702</t>
  </si>
  <si>
    <t>Donor_0703</t>
  </si>
  <si>
    <t>Donor_0704</t>
  </si>
  <si>
    <t>Donor_0705</t>
  </si>
  <si>
    <t>Donor_0706</t>
  </si>
  <si>
    <t>Donor_0707</t>
  </si>
  <si>
    <t>Donor_0708</t>
  </si>
  <si>
    <t>Donor_0709</t>
  </si>
  <si>
    <t>Donor_0710</t>
  </si>
  <si>
    <t>Donor_0711</t>
  </si>
  <si>
    <t>Donor_0712</t>
  </si>
  <si>
    <t>Donor_0713</t>
  </si>
  <si>
    <t>Donor_0714</t>
  </si>
  <si>
    <t>Donor_0715</t>
  </si>
  <si>
    <t>Donor_0716</t>
  </si>
  <si>
    <t>Donor_0717</t>
  </si>
  <si>
    <t>Donor_0718</t>
  </si>
  <si>
    <t>Donor_0719</t>
  </si>
  <si>
    <t>Donor_0720</t>
  </si>
  <si>
    <t>Donor_0721</t>
  </si>
  <si>
    <t>Donor_0722</t>
  </si>
  <si>
    <t>Donor_0723</t>
  </si>
  <si>
    <t>Donor_0724</t>
  </si>
  <si>
    <t>Donor_0725</t>
  </si>
  <si>
    <t>Donor_0726</t>
  </si>
  <si>
    <t>Donor_0727</t>
  </si>
  <si>
    <t>Donor_0728</t>
  </si>
  <si>
    <t>Donor_0729</t>
  </si>
  <si>
    <t>Donor_0730</t>
  </si>
  <si>
    <t>Donor_0731</t>
  </si>
  <si>
    <t>Donor_0732</t>
  </si>
  <si>
    <t>Donor_0733</t>
  </si>
  <si>
    <t>Donor_0734</t>
  </si>
  <si>
    <t>Donor_0735</t>
  </si>
  <si>
    <t>Donor_0736</t>
  </si>
  <si>
    <t>Donor_0737</t>
  </si>
  <si>
    <t>Donor_0738</t>
  </si>
  <si>
    <t>Donor_0739</t>
  </si>
  <si>
    <t>Donor_0740</t>
  </si>
  <si>
    <t>Donor_0741</t>
  </si>
  <si>
    <t>Donor_0742</t>
  </si>
  <si>
    <t>Donor_0743</t>
  </si>
  <si>
    <t>Donor_0744</t>
  </si>
  <si>
    <t>Donor_0745</t>
  </si>
  <si>
    <t>Donor_0746</t>
  </si>
  <si>
    <t>Donor_0747</t>
  </si>
  <si>
    <t>Donor_0748</t>
  </si>
  <si>
    <t>Donor_0749</t>
  </si>
  <si>
    <t>Donor_0750</t>
  </si>
  <si>
    <t>Donor_0751</t>
  </si>
  <si>
    <t>Donor_0752</t>
  </si>
  <si>
    <t>Donor_0753</t>
  </si>
  <si>
    <t>Donor_0754</t>
  </si>
  <si>
    <t>Donor_0755</t>
  </si>
  <si>
    <t>Donor_0756</t>
  </si>
  <si>
    <t>Donor_0757</t>
  </si>
  <si>
    <t>Donor_0758</t>
  </si>
  <si>
    <t>Donor_0759</t>
  </si>
  <si>
    <t>Donor_0760</t>
  </si>
  <si>
    <t>Donor_0761</t>
  </si>
  <si>
    <t>Donor_0762</t>
  </si>
  <si>
    <t>Donor_0763</t>
  </si>
  <si>
    <t>Donor_0764</t>
  </si>
  <si>
    <t>Donor_0765</t>
  </si>
  <si>
    <t>Donor_0766</t>
  </si>
  <si>
    <t>Donor_0767</t>
  </si>
  <si>
    <t>Donor_0768</t>
  </si>
  <si>
    <t>Donor_0769</t>
  </si>
  <si>
    <t>Donor_0770</t>
  </si>
  <si>
    <t>Donor_0771</t>
  </si>
  <si>
    <t>Donor_0772</t>
  </si>
  <si>
    <t>Donor_0773</t>
  </si>
  <si>
    <t>Donor_0774</t>
  </si>
  <si>
    <t>Donor_0775</t>
  </si>
  <si>
    <t>Donor_0776</t>
  </si>
  <si>
    <t>Donor_0777</t>
  </si>
  <si>
    <t>Donor_0778</t>
  </si>
  <si>
    <t>Donor_0779</t>
  </si>
  <si>
    <t>Donor_0780</t>
  </si>
  <si>
    <t>Donor_0781</t>
  </si>
  <si>
    <t>Donor_0782</t>
  </si>
  <si>
    <t>Donor_0783</t>
  </si>
  <si>
    <t>Donor_0784</t>
  </si>
  <si>
    <t>Donor_0785</t>
  </si>
  <si>
    <t>Donor_0786</t>
  </si>
  <si>
    <t>Donor_0787</t>
  </si>
  <si>
    <t>Donor_0788</t>
  </si>
  <si>
    <t>Donor_0789</t>
  </si>
  <si>
    <t>Donor_0790</t>
  </si>
  <si>
    <t>Donor_0791</t>
  </si>
  <si>
    <t>Donor_0792</t>
  </si>
  <si>
    <t>Donor_0793</t>
  </si>
  <si>
    <t>Donor_0794</t>
  </si>
  <si>
    <t>Donor_0795</t>
  </si>
  <si>
    <t>Donor_0796</t>
  </si>
  <si>
    <t>Donor_0797</t>
  </si>
  <si>
    <t>Donor_0798</t>
  </si>
  <si>
    <t>Donor_0799</t>
  </si>
  <si>
    <t>Donor_0800</t>
  </si>
  <si>
    <t>Donor_0801</t>
  </si>
  <si>
    <t>Donor_0802</t>
  </si>
  <si>
    <t>Donor_0803</t>
  </si>
  <si>
    <t>Donor_0804</t>
  </si>
  <si>
    <t>Donor_0805</t>
  </si>
  <si>
    <t>Donor_0806</t>
  </si>
  <si>
    <t>Donor_0807</t>
  </si>
  <si>
    <t>Donor_0808</t>
  </si>
  <si>
    <t>Donor_0809</t>
  </si>
  <si>
    <t>Donor_0810</t>
  </si>
  <si>
    <t>Donor_0811</t>
  </si>
  <si>
    <t>Donor_0812</t>
  </si>
  <si>
    <t>Donor_0813</t>
  </si>
  <si>
    <t>Donor_0814</t>
  </si>
  <si>
    <t>Donor_0815</t>
  </si>
  <si>
    <t>Donor_0816</t>
  </si>
  <si>
    <t>Donor_0817</t>
  </si>
  <si>
    <t>Donor_0818</t>
  </si>
  <si>
    <t>Donor_0819</t>
  </si>
  <si>
    <t>Donor_0820</t>
  </si>
  <si>
    <t>Donor_0821</t>
  </si>
  <si>
    <t>Donor_0822</t>
  </si>
  <si>
    <t>Donor_0823</t>
  </si>
  <si>
    <t>Donor_0824</t>
  </si>
  <si>
    <t>Donor_0825</t>
  </si>
  <si>
    <t>Donor_0826</t>
  </si>
  <si>
    <t>Donor_0827</t>
  </si>
  <si>
    <t>Donor_0828</t>
  </si>
  <si>
    <t>Donor_0829</t>
  </si>
  <si>
    <t>Donor_0830</t>
  </si>
  <si>
    <t>Donor_0831</t>
  </si>
  <si>
    <t>Donor_0832</t>
  </si>
  <si>
    <t>Donor_0833</t>
  </si>
  <si>
    <t>Donor_0834</t>
  </si>
  <si>
    <t>Donor_0835</t>
  </si>
  <si>
    <t>Donor_0836</t>
  </si>
  <si>
    <t>Donor_0837</t>
  </si>
  <si>
    <t>Donor_0838</t>
  </si>
  <si>
    <t>Donor_0839</t>
  </si>
  <si>
    <t>Donor_0840</t>
  </si>
  <si>
    <t>Donor_0841</t>
  </si>
  <si>
    <t>Donor_0842</t>
  </si>
  <si>
    <t>Donor_0843</t>
  </si>
  <si>
    <t>Donor_0844</t>
  </si>
  <si>
    <t>Donor_0845</t>
  </si>
  <si>
    <t>Donor_0846</t>
  </si>
  <si>
    <t>Donor_0847</t>
  </si>
  <si>
    <t>Donor_0848</t>
  </si>
  <si>
    <t>Donor_0849</t>
  </si>
  <si>
    <t>Donor_0850</t>
  </si>
  <si>
    <t>Donor_0851</t>
  </si>
  <si>
    <t>Donor_0852</t>
  </si>
  <si>
    <t>Donor_0853</t>
  </si>
  <si>
    <t>Donor_0854</t>
  </si>
  <si>
    <t>Donor_0855</t>
  </si>
  <si>
    <t>Donor_0856</t>
  </si>
  <si>
    <t>Donor_0857</t>
  </si>
  <si>
    <t>Donor_0858</t>
  </si>
  <si>
    <t>Donor_0859</t>
  </si>
  <si>
    <t>Donor_0860</t>
  </si>
  <si>
    <t>Donor_0861</t>
  </si>
  <si>
    <t>Donor_0862</t>
  </si>
  <si>
    <t>Donor_0863</t>
  </si>
  <si>
    <t>Donor_0864</t>
  </si>
  <si>
    <t>Donor_0865</t>
  </si>
  <si>
    <t>Donor_0866</t>
  </si>
  <si>
    <t>Donor_0867</t>
  </si>
  <si>
    <t>Donor_0868</t>
  </si>
  <si>
    <t>Donor_0869</t>
  </si>
  <si>
    <t>Donor_0870</t>
  </si>
  <si>
    <t>Donor_0871</t>
  </si>
  <si>
    <t>Donor_0872</t>
  </si>
  <si>
    <t>Donor_0873</t>
  </si>
  <si>
    <t>Donor_0874</t>
  </si>
  <si>
    <t>Donor_0875</t>
  </si>
  <si>
    <t>Donor_0876</t>
  </si>
  <si>
    <t>Donor_0877</t>
  </si>
  <si>
    <t>Donor_0878</t>
  </si>
  <si>
    <t>Donor_0879</t>
  </si>
  <si>
    <t>Donor_0880</t>
  </si>
  <si>
    <t>Donor_0881</t>
  </si>
  <si>
    <t>Donor_0882</t>
  </si>
  <si>
    <t>Donor_0883</t>
  </si>
  <si>
    <t>Donor_0884</t>
  </si>
  <si>
    <t>Donor_0885</t>
  </si>
  <si>
    <t>Donor_0886</t>
  </si>
  <si>
    <t>Donor_0887</t>
  </si>
  <si>
    <t>Donor_0888</t>
  </si>
  <si>
    <t>Donor_0889</t>
  </si>
  <si>
    <t>Donor_0890</t>
  </si>
  <si>
    <t>Donor_0891</t>
  </si>
  <si>
    <t>Donor_0892</t>
  </si>
  <si>
    <t>Donor_0893</t>
  </si>
  <si>
    <t>Donor_0894</t>
  </si>
  <si>
    <t>Donor_0895</t>
  </si>
  <si>
    <t>Donor_0896</t>
  </si>
  <si>
    <t>Donor_0897</t>
  </si>
  <si>
    <t>Donor_0898</t>
  </si>
  <si>
    <t>Donor_0899</t>
  </si>
  <si>
    <t>Donor_0900</t>
  </si>
  <si>
    <t>Donor_0901</t>
  </si>
  <si>
    <t>Donor_0902</t>
  </si>
  <si>
    <t>Donor_0903</t>
  </si>
  <si>
    <t>Donor_0904</t>
  </si>
  <si>
    <t>Donor_0905</t>
  </si>
  <si>
    <t>Donor_0906</t>
  </si>
  <si>
    <t>Donor_0907</t>
  </si>
  <si>
    <t>Donor_0908</t>
  </si>
  <si>
    <t>Donor_0909</t>
  </si>
  <si>
    <t>Donor_0910</t>
  </si>
  <si>
    <t>Donor_0911</t>
  </si>
  <si>
    <t>Donor_0912</t>
  </si>
  <si>
    <t>Donor_0913</t>
  </si>
  <si>
    <t>Donor_0914</t>
  </si>
  <si>
    <t>Donor_0915</t>
  </si>
  <si>
    <t>Donor_0916</t>
  </si>
  <si>
    <t>Donor_0917</t>
  </si>
  <si>
    <t>Donor_0918</t>
  </si>
  <si>
    <t>Donor_0919</t>
  </si>
  <si>
    <t>Donor_0920</t>
  </si>
  <si>
    <t>Donor_0921</t>
  </si>
  <si>
    <t>Donor_0922</t>
  </si>
  <si>
    <t>Donor_0923</t>
  </si>
  <si>
    <t>Donor_0924</t>
  </si>
  <si>
    <t>Donor_0925</t>
  </si>
  <si>
    <t>Donor_0926</t>
  </si>
  <si>
    <t>Donor_0927</t>
  </si>
  <si>
    <t>Donor_0928</t>
  </si>
  <si>
    <t>Donor_0929</t>
  </si>
  <si>
    <t>Donor_0930</t>
  </si>
  <si>
    <t>Donor_0931</t>
  </si>
  <si>
    <t>Donor_0932</t>
  </si>
  <si>
    <t>Donor_0933</t>
  </si>
  <si>
    <t>Donor_0934</t>
  </si>
  <si>
    <t>Donor_0935</t>
  </si>
  <si>
    <t>Donor_0936</t>
  </si>
  <si>
    <t>Donor_0937</t>
  </si>
  <si>
    <t>Donor_0938</t>
  </si>
  <si>
    <t>Donor_0939</t>
  </si>
  <si>
    <t>Donor_0940</t>
  </si>
  <si>
    <t>Donor_0941</t>
  </si>
  <si>
    <t>Donor_0942</t>
  </si>
  <si>
    <t>Donor_0943</t>
  </si>
  <si>
    <t>Donor_0944</t>
  </si>
  <si>
    <t>Donor_0945</t>
  </si>
  <si>
    <t>Donor_0946</t>
  </si>
  <si>
    <t>Donor_0947</t>
  </si>
  <si>
    <t>Donor_0948</t>
  </si>
  <si>
    <t>Donor_0949</t>
  </si>
  <si>
    <t>Donor_0950</t>
  </si>
  <si>
    <t>Donor_0951</t>
  </si>
  <si>
    <t>Donor_0952</t>
  </si>
  <si>
    <t>Donor_0953</t>
  </si>
  <si>
    <t>Donor_0954</t>
  </si>
  <si>
    <t>Donor_0955</t>
  </si>
  <si>
    <t>Donor_0956</t>
  </si>
  <si>
    <t>Donor_0957</t>
  </si>
  <si>
    <t>Donor_0958</t>
  </si>
  <si>
    <t>Donor_0959</t>
  </si>
  <si>
    <t>Donor_0960</t>
  </si>
  <si>
    <t>Donor_0961</t>
  </si>
  <si>
    <t>Donor_0962</t>
  </si>
  <si>
    <t>Donor_0963</t>
  </si>
  <si>
    <t>Donor_0964</t>
  </si>
  <si>
    <t>Donor_0965</t>
  </si>
  <si>
    <t>Donor_0966</t>
  </si>
  <si>
    <t>Donor_0967</t>
  </si>
  <si>
    <t>Donor_0968</t>
  </si>
  <si>
    <t>Donor_0969</t>
  </si>
  <si>
    <t>Donor_0970</t>
  </si>
  <si>
    <t>Donor_0971</t>
  </si>
  <si>
    <t>Donor_0972</t>
  </si>
  <si>
    <t>Donor_0973</t>
  </si>
  <si>
    <t>Donor_0974</t>
  </si>
  <si>
    <t>Donor_0975</t>
  </si>
  <si>
    <t>Donor_0976</t>
  </si>
  <si>
    <t>Donor_0977</t>
  </si>
  <si>
    <t>Donor_0978</t>
  </si>
  <si>
    <t>Donor_0979</t>
  </si>
  <si>
    <t>Donor_0980</t>
  </si>
  <si>
    <t>Donor_0981</t>
  </si>
  <si>
    <t>Donor_0982</t>
  </si>
  <si>
    <t>Donor_0983</t>
  </si>
  <si>
    <t>Donor_0984</t>
  </si>
  <si>
    <t>Donor_0985</t>
  </si>
  <si>
    <t>Donor_0986</t>
  </si>
  <si>
    <t>Donor_0987</t>
  </si>
  <si>
    <t>Donor_0988</t>
  </si>
  <si>
    <t>Donor_0989</t>
  </si>
  <si>
    <t>Donor_0990</t>
  </si>
  <si>
    <t>Donor_0991</t>
  </si>
  <si>
    <t>Donor_0992</t>
  </si>
  <si>
    <t>Donor_0993</t>
  </si>
  <si>
    <t>Donor_0994</t>
  </si>
  <si>
    <t>Donor_0995</t>
  </si>
  <si>
    <t>Donor_0996</t>
  </si>
  <si>
    <t>Donor_0997</t>
  </si>
  <si>
    <t>Donor_0998</t>
  </si>
  <si>
    <t>Donor_0999</t>
  </si>
  <si>
    <t>Donor_1000</t>
  </si>
  <si>
    <t>Grand Total</t>
  </si>
  <si>
    <t>No. of Donors</t>
  </si>
  <si>
    <t>Income Bracket</t>
  </si>
  <si>
    <t>Avg Donations per Donar</t>
  </si>
  <si>
    <t>Avg No. of Donations</t>
  </si>
  <si>
    <t>Total Raised</t>
  </si>
  <si>
    <t>Channel</t>
  </si>
  <si>
    <t/>
  </si>
  <si>
    <t>Donors Status %</t>
  </si>
  <si>
    <t>Total Campaign Cost</t>
  </si>
  <si>
    <t>Cost per ₹ Raised</t>
  </si>
  <si>
    <t>Cause</t>
  </si>
  <si>
    <t>% of Donors</t>
  </si>
  <si>
    <t>Best Channel</t>
  </si>
  <si>
    <t>Average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</si>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</sst>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  <numFmt numFmtId="166" formatCode="_ &quot;₹&quot;\ * #,##0.00000_ ;_ &quot;₹&quot;\ * \-#,##0.00000_ ;_ &quot;₹&quot;\ * &quot;-&quot;??_ ;_ @_ "/>
    <numFmt numFmtId="167" formatCode="&quot;₹&quot;0.0,&quot;K&quot;"/>
    <numFmt numFmtId="170" formatCode="_ &quot;₹&quot;\ * #,##0.0000_ ;_ &quot;₹&quot;\ * \-#,##0.000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2" fontId="0" fillId="0" borderId="0" xfId="0" applyNumberFormat="1"/>
    <xf numFmtId="0" fontId="1" fillId="2" borderId="0" xfId="0" applyFont="1" applyFill="1"/>
    <xf numFmtId="164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right"/>
    </xf>
    <xf numFmtId="10" fontId="1" fillId="2" borderId="0" xfId="0" applyNumberFormat="1" applyFont="1" applyFill="1"/>
    <xf numFmtId="167" fontId="0" fillId="0" borderId="0" xfId="1" applyNumberFormat="1" applyFont="1"/>
    <xf numFmtId="9" fontId="0" fillId="0" borderId="0" xfId="2" applyFont="1"/>
    <xf numFmtId="164" fontId="0" fillId="0" borderId="0" xfId="1" applyNumberFormat="1" applyFont="1"/>
    <xf numFmtId="17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/>
  </cellXfs>
  <cellStyles count="3">
    <cellStyle name="Currency" xfId="1" builtinId="4"/>
    <cellStyle name="Normal" xfId="0" builtinId="0"/>
    <cellStyle name="Percent" xfId="2" builtinId="5"/>
  </cellStyles>
  <dxfs count="38">
    <dxf>
      <numFmt numFmtId="14" formatCode="0.00%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4" formatCode="_ &quot;₹&quot;\ * #,##0_ ;_ &quot;₹&quot;\ * \-#,##0_ ;_ &quot;₹&quot;\ * &quot;-&quot;??_ ;_ @_ "/>
    </dxf>
    <dxf>
      <numFmt numFmtId="164" formatCode="_ &quot;₹&quot;\ * #,##0_ ;_ &quot;₹&quot;\ * \-#,##0_ ;_ &quot;₹&quot;\ * &quot;-&quot;??_ ;_ @_ "/>
    </dxf>
    <dxf>
      <numFmt numFmtId="164" formatCode="_ &quot;₹&quot;\ * #,##0_ ;_ &quot;₹&quot;\ * \-#,##0_ ;_ &quot;₹&quot;\ * &quot;-&quot;??_ ;_ @_ "/>
    </dxf>
    <dxf>
      <numFmt numFmtId="34" formatCode="_ &quot;₹&quot;\ * #,##0.00_ ;_ &quot;₹&quot;\ * \-#,##0.00_ ;_ &quot;₹&quot;\ * &quot;-&quot;??_ ;_ @_ "/>
    </dxf>
    <dxf>
      <numFmt numFmtId="166" formatCode="_ &quot;₹&quot;\ * #,##0.00000_ ;_ &quot;₹&quot;\ * \-#,##0.00000_ ;_ &quot;₹&quot;\ * &quot;-&quot;??_ ;_ @_ "/>
    </dxf>
    <dxf>
      <alignment wrapText="1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 &quot;₹&quot;\ * #,##0.00_ ;_ &quot;₹&quot;\ * \-#,##0.00_ ;_ &quot;₹&quot;\ * &quot;-&quot;??_ ;_ @_ "/>
    </dxf>
    <dxf>
      <alignment wrapText="0"/>
    </dxf>
    <dxf>
      <numFmt numFmtId="164" formatCode="_ &quot;₹&quot;\ * #,##0_ ;_ &quot;₹&quot;\ * \-#,##0_ ;_ &quot;₹&quot;\ * &quot;-&quot;??_ ;_ @_ "/>
    </dxf>
    <dxf>
      <numFmt numFmtId="165" formatCode="0.0%"/>
    </dxf>
    <dxf>
      <numFmt numFmtId="14" formatCode="0.00%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4" formatCode="0.00%"/>
    </dxf>
    <dxf>
      <numFmt numFmtId="0" formatCode="General"/>
    </dxf>
    <dxf>
      <numFmt numFmtId="164" formatCode="_ &quot;₹&quot;\ * #,##0_ ;_ &quot;₹&quot;\ * \-#,##0_ ;_ &quot;₹&quot;\ * &quot;-&quot;??_ ;_ @_ "/>
    </dxf>
    <dxf>
      <numFmt numFmtId="164" formatCode="_ &quot;₹&quot;\ * #,##0_ ;_ &quot;₹&quot;\ * \-#,##0_ ;_ &quot;₹&quot;\ * &quot;-&quot;??_ ;_ @_ 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2D4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AVG</a:t>
            </a:r>
            <a:r>
              <a:rPr lang="en-US" sz="1800" baseline="0">
                <a:solidFill>
                  <a:schemeClr val="tx1"/>
                </a:solidFill>
              </a:rPr>
              <a:t> DONATION BY INCOME BRACKET</a:t>
            </a:r>
            <a:r>
              <a:rPr lang="en-US" sz="1800">
                <a:solidFill>
                  <a:schemeClr val="tx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9.3745175235448522E-2"/>
          <c:y val="3.556910569105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676210928179431E-2"/>
          <c:y val="0.17277058193169642"/>
          <c:w val="0.87316317502167429"/>
          <c:h val="0.7556402439024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Pivots!$B$36</c:f>
              <c:strCache>
                <c:ptCount val="1"/>
                <c:pt idx="0">
                  <c:v>Avg Donations per Donar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Pivots!$A$37:$A$40</c:f>
              <c:strCache>
                <c:ptCount val="4"/>
                <c:pt idx="0">
                  <c:v>10L+</c:v>
                </c:pt>
                <c:pt idx="1">
                  <c:v>5-10L</c:v>
                </c:pt>
                <c:pt idx="2">
                  <c:v>2-5L</c:v>
                </c:pt>
                <c:pt idx="3">
                  <c:v>&lt;2L</c:v>
                </c:pt>
              </c:strCache>
            </c:strRef>
          </c:cat>
          <c:val>
            <c:numRef>
              <c:f>Pivots!$B$37:$B$40</c:f>
              <c:numCache>
                <c:formatCode>"₹"0.0,"K"</c:formatCode>
                <c:ptCount val="4"/>
                <c:pt idx="0">
                  <c:v>85288.934426229505</c:v>
                </c:pt>
                <c:pt idx="1">
                  <c:v>37553.112033195022</c:v>
                </c:pt>
                <c:pt idx="2">
                  <c:v>16164.750957854407</c:v>
                </c:pt>
                <c:pt idx="3">
                  <c:v>6869.2913385826769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1-43ED-BAB0-79A6DE568B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05898847"/>
        <c:axId val="705897887"/>
      </c:barChart>
      <c:catAx>
        <c:axId val="7058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97887"/>
        <c:crosses val="autoZero"/>
        <c:auto val="1"/>
        <c:lblAlgn val="ctr"/>
        <c:lblOffset val="100"/>
        <c:noMultiLvlLbl val="0"/>
      </c:catAx>
      <c:valAx>
        <c:axId val="705897887"/>
        <c:scaling>
          <c:orientation val="minMax"/>
        </c:scaling>
        <c:delete val="1"/>
        <c:axPos val="b"/>
        <c:numFmt formatCode="&quot;₹&quot;0.0,&quot;K&quot;" sourceLinked="1"/>
        <c:majorTickMark val="none"/>
        <c:minorTickMark val="none"/>
        <c:tickLblPos val="nextTo"/>
        <c:crossAx val="70589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[donor.xlsx]Pivots!pivot_churn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CHURN</a:t>
            </a:r>
            <a:r>
              <a:rPr lang="en-IN" sz="1800" baseline="0">
                <a:solidFill>
                  <a:schemeClr val="tx1"/>
                </a:solidFill>
              </a:rPr>
              <a:t> BY CHANNEL</a:t>
            </a:r>
            <a:endParaRPr lang="en-IN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5095039406583216"/>
          <c:y val="1.1001100110011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2D46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79278233475336"/>
          <c:y val="0.1701965472137765"/>
          <c:w val="0.79907661924735074"/>
          <c:h val="0.7775144443578214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Pivots!$B$12:$B$13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12D4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Pivots!$A$14:$A$17</c:f>
              <c:strCache>
                <c:ptCount val="4"/>
                <c:pt idx="0">
                  <c:v>Social Media</c:v>
                </c:pt>
                <c:pt idx="1">
                  <c:v>Email</c:v>
                </c:pt>
                <c:pt idx="2">
                  <c:v>Events</c:v>
                </c:pt>
                <c:pt idx="3">
                  <c:v>Referral</c:v>
                </c:pt>
              </c:strCache>
            </c:strRef>
          </c:cat>
          <c:val>
            <c:numRef>
              <c:f>Pivots!$B$14:$B$17</c:f>
              <c:numCache>
                <c:formatCode>0.00%</c:formatCode>
                <c:ptCount val="4"/>
                <c:pt idx="0">
                  <c:v>0.30645161290322581</c:v>
                </c:pt>
                <c:pt idx="1">
                  <c:v>0.29629629629629628</c:v>
                </c:pt>
                <c:pt idx="2">
                  <c:v>0.2733812949640288</c:v>
                </c:pt>
                <c:pt idx="3">
                  <c:v>0.2558139534883721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7-4CF8-B6E4-FA2D6ACA0C67}"/>
            </c:ext>
          </c:extLst>
        </c:ser>
        <c:ser>
          <c:idx val="1"/>
          <c:order val="1"/>
          <c:tx>
            <c:strRef>
              <c:f>Pivots!$C$12:$C$13</c:f>
              <c:strCache>
                <c:ptCount val="1"/>
                <c:pt idx="0">
                  <c:v>Lapsed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Pivots!$A$14:$A$17</c:f>
              <c:strCache>
                <c:ptCount val="4"/>
                <c:pt idx="0">
                  <c:v>Social Media</c:v>
                </c:pt>
                <c:pt idx="1">
                  <c:v>Email</c:v>
                </c:pt>
                <c:pt idx="2">
                  <c:v>Events</c:v>
                </c:pt>
                <c:pt idx="3">
                  <c:v>Referral</c:v>
                </c:pt>
              </c:strCache>
            </c:strRef>
          </c:cat>
          <c:val>
            <c:numRef>
              <c:f>Pivots!$C$14:$C$17</c:f>
              <c:numCache>
                <c:formatCode>0.00%</c:formatCode>
                <c:ptCount val="4"/>
                <c:pt idx="0">
                  <c:v>0.69354838709677424</c:v>
                </c:pt>
                <c:pt idx="1">
                  <c:v>0.70370370370370372</c:v>
                </c:pt>
                <c:pt idx="2">
                  <c:v>0.72661870503597126</c:v>
                </c:pt>
                <c:pt idx="3">
                  <c:v>0.7441860465116279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7-4CF8-B6E4-FA2D6ACA0C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710945791"/>
        <c:axId val="710943391"/>
      </c:barChart>
      <c:catAx>
        <c:axId val="710945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943391"/>
        <c:crosses val="autoZero"/>
        <c:auto val="1"/>
        <c:lblAlgn val="ctr"/>
        <c:lblOffset val="100"/>
        <c:noMultiLvlLbl val="0"/>
      </c:catAx>
      <c:valAx>
        <c:axId val="71094339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71094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DONATION BY CAUSE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4055118110234"/>
          <c:y val="0.23652777777777778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Pivots!$I$36</c:f>
              <c:strCache>
                <c:ptCount val="1"/>
                <c:pt idx="0">
                  <c:v>% of Donors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30-4C36-945A-0654DABC7C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30-4C36-945A-0654DABC7C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30-4C36-945A-0654DABC7C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Pivots!$H$37:$H$39</c:f>
              <c:strCache>
                <c:ptCount val="3"/>
                <c:pt idx="0">
                  <c:v>Education</c:v>
                </c:pt>
                <c:pt idx="1">
                  <c:v>Environment</c:v>
                </c:pt>
                <c:pt idx="2">
                  <c:v>Healthcare</c:v>
                </c:pt>
              </c:strCache>
            </c:strRef>
          </c:cat>
          <c:val>
            <c:numRef>
              <c:f>Pivots!$I$37:$I$39</c:f>
              <c:numCache>
                <c:formatCode>0%</c:formatCode>
                <c:ptCount val="3"/>
                <c:pt idx="0">
                  <c:v>0.60299999999999998</c:v>
                </c:pt>
                <c:pt idx="1">
                  <c:v>0.19400000000000001</c:v>
                </c:pt>
                <c:pt idx="2">
                  <c:v>0.20300000000000001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30-4C36-945A-0654DABC7C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598315835520551"/>
          <c:y val="0.29224482356372122"/>
          <c:w val="0.23636701662292214"/>
          <c:h val="0.44386628754738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DONATIONS</a:t>
            </a:r>
            <a:r>
              <a:rPr lang="en-IN" sz="1800" baseline="0">
                <a:solidFill>
                  <a:schemeClr val="tx1"/>
                </a:solidFill>
              </a:rPr>
              <a:t> RAISED</a:t>
            </a:r>
            <a:endParaRPr lang="en-IN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Pivots!$B$44</c:f>
              <c:strCache>
                <c:ptCount val="1"/>
                <c:pt idx="0">
                  <c:v>No. of Donors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Pivots!$A$45:$A$48</c:f>
              <c:strCache>
                <c:ptCount val="4"/>
                <c:pt idx="0">
                  <c:v>10L+</c:v>
                </c:pt>
                <c:pt idx="1">
                  <c:v>5-10L</c:v>
                </c:pt>
                <c:pt idx="2">
                  <c:v>2-5L</c:v>
                </c:pt>
                <c:pt idx="3">
                  <c:v>&lt;2L</c:v>
                </c:pt>
              </c:strCache>
            </c:strRef>
          </c:cat>
          <c:val>
            <c:numRef>
              <c:f>Pivots!$B$45:$B$48</c:f>
              <c:numCache>
                <c:formatCode>General</c:formatCode>
                <c:ptCount val="4"/>
                <c:pt idx="0">
                  <c:v>244</c:v>
                </c:pt>
                <c:pt idx="1">
                  <c:v>241</c:v>
                </c:pt>
                <c:pt idx="2">
                  <c:v>261</c:v>
                </c:pt>
                <c:pt idx="3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C-4A68-B90E-7A6460BED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551279"/>
        <c:axId val="1474555599"/>
      </c:barChart>
      <c:lineChart>
        <c:grouping val="standard"/>
        <c:varyColors val="0"/>
        <c:ser>
          <c:idx val="1"/>
          <c:order val="1"/>
          <c:tx>
            <c:strRef>
              <c:f>Pivots!$C$44</c:f>
              <c:strCache>
                <c:ptCount val="1"/>
                <c:pt idx="0">
                  <c:v>Total Raised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Pivots!$A$45:$A$48</c:f>
              <c:strCache>
                <c:ptCount val="4"/>
                <c:pt idx="0">
                  <c:v>10L+</c:v>
                </c:pt>
                <c:pt idx="1">
                  <c:v>5-10L</c:v>
                </c:pt>
                <c:pt idx="2">
                  <c:v>2-5L</c:v>
                </c:pt>
                <c:pt idx="3">
                  <c:v>&lt;2L</c:v>
                </c:pt>
              </c:strCache>
            </c:strRef>
          </c:cat>
          <c:val>
            <c:numRef>
              <c:f>Pivots!$C$45:$C$48</c:f>
              <c:numCache>
                <c:formatCode>_ "₹"\ * #,##0_ ;_ "₹"\ * \-#,##0_ ;_ "₹"\ * "-"??_ ;_ @_ </c:formatCode>
                <c:ptCount val="4"/>
                <c:pt idx="0">
                  <c:v>20810500</c:v>
                </c:pt>
                <c:pt idx="1">
                  <c:v>9050300</c:v>
                </c:pt>
                <c:pt idx="2">
                  <c:v>4219000</c:v>
                </c:pt>
                <c:pt idx="3">
                  <c:v>1744800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1C-4A68-B90E-7A6460BED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558479"/>
        <c:axId val="1474558959"/>
      </c:lineChart>
      <c:catAx>
        <c:axId val="1474551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55599"/>
        <c:crosses val="autoZero"/>
        <c:auto val="0"/>
        <c:lblAlgn val="ctr"/>
        <c:lblOffset val="100"/>
        <c:noMultiLvlLbl val="0"/>
      </c:catAx>
      <c:valAx>
        <c:axId val="147455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51279"/>
        <c:crosses val="autoZero"/>
        <c:crossBetween val="between"/>
      </c:valAx>
      <c:valAx>
        <c:axId val="1474558959"/>
        <c:scaling>
          <c:orientation val="minMax"/>
        </c:scaling>
        <c:delete val="0"/>
        <c:axPos val="r"/>
        <c:numFmt formatCode="_ &quot;₹&quot;\ * #,##0_ ;_ &quot;₹&quot;\ * \-#,##0_ ;_ &quot;₹&quot;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58479"/>
        <c:crosses val="max"/>
        <c:crossBetween val="between"/>
      </c:valAx>
      <c:catAx>
        <c:axId val="1474558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74558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388620</xdr:colOff>
      <xdr:row>19</xdr:row>
      <xdr:rowOff>144780</xdr:rowOff>
    </xdr:from>
    <xdr:to>
      <xdr:col>21</xdr:col>
      <xdr:colOff>99060</xdr:colOff>
      <xdr:row>32</xdr:row>
      <xdr:rowOff>137160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AAB838F-F7CF-E443-5D35-6386D2A79EE6}"/>
            </a:ext>
          </a:extLst>
        </xdr:cNvPr>
        <xdr:cNvSpPr/>
      </xdr:nvSpPr>
      <xdr:spPr>
        <a:xfrm>
          <a:off x="10142220" y="3619500"/>
          <a:ext cx="4282440" cy="2369820"/>
        </a:xfrm>
        <a:prstGeom prst="roundRect">
          <a:avLst>
            <a:gd name="adj" fmla="val 3136"/>
          </a:avLst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60960</xdr:colOff>
      <xdr:row>0</xdr:row>
      <xdr:rowOff>45720</xdr:rowOff>
    </xdr:from>
    <xdr:to>
      <xdr:col>5</xdr:col>
      <xdr:colOff>312420</xdr:colOff>
      <xdr:row>4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60E6211-E8C2-5FDC-F9ED-77B732144EB4}"/>
            </a:ext>
          </a:extLst>
        </xdr:cNvPr>
        <xdr:cNvSpPr/>
      </xdr:nvSpPr>
      <xdr:spPr>
        <a:xfrm>
          <a:off x="60960" y="45720"/>
          <a:ext cx="3299460" cy="769620"/>
        </a:xfrm>
        <a:prstGeom prst="round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594360</xdr:colOff>
      <xdr:row>0</xdr:row>
      <xdr:rowOff>45720</xdr:rowOff>
    </xdr:from>
    <xdr:to>
      <xdr:col>11</xdr:col>
      <xdr:colOff>236220</xdr:colOff>
      <xdr:row>4</xdr:row>
      <xdr:rowOff>83820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D419231-9021-C38F-8400-ED98D31AC39E}"/>
            </a:ext>
          </a:extLst>
        </xdr:cNvPr>
        <xdr:cNvSpPr/>
      </xdr:nvSpPr>
      <xdr:spPr>
        <a:xfrm>
          <a:off x="3642360" y="45720"/>
          <a:ext cx="3299460" cy="769620"/>
        </a:xfrm>
        <a:prstGeom prst="round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579120</xdr:colOff>
      <xdr:row>0</xdr:row>
      <xdr:rowOff>53340</xdr:rowOff>
    </xdr:from>
    <xdr:to>
      <xdr:col>17</xdr:col>
      <xdr:colOff>220980</xdr:colOff>
      <xdr:row>4</xdr:row>
      <xdr:rowOff>91440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992018E-0AA6-2734-01CE-74BA4EC45A77}"/>
            </a:ext>
          </a:extLst>
        </xdr:cNvPr>
        <xdr:cNvSpPr/>
      </xdr:nvSpPr>
      <xdr:spPr>
        <a:xfrm>
          <a:off x="7284720" y="53340"/>
          <a:ext cx="3299460" cy="769620"/>
        </a:xfrm>
        <a:prstGeom prst="round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487680</xdr:colOff>
      <xdr:row>0</xdr:row>
      <xdr:rowOff>53340</xdr:rowOff>
    </xdr:from>
    <xdr:to>
      <xdr:col>23</xdr:col>
      <xdr:colOff>129540</xdr:colOff>
      <xdr:row>4</xdr:row>
      <xdr:rowOff>91440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BE3A889-D452-B39F-29AF-E33967C8BDF2}"/>
            </a:ext>
          </a:extLst>
        </xdr:cNvPr>
        <xdr:cNvSpPr/>
      </xdr:nvSpPr>
      <xdr:spPr>
        <a:xfrm>
          <a:off x="10850880" y="53340"/>
          <a:ext cx="3299460" cy="769620"/>
        </a:xfrm>
        <a:prstGeom prst="round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182880</xdr:colOff>
      <xdr:row>1</xdr:row>
      <xdr:rowOff>76200</xdr:rowOff>
    </xdr:from>
    <xdr:to>
      <xdr:col>9</xdr:col>
      <xdr:colOff>266700</xdr:colOff>
      <xdr:row>3</xdr:row>
      <xdr:rowOff>144780</xdr:rowOff>
    </xdr:to>
    <xdr:sp macro="" textlink="Pivots!E8">
      <xdr:nvSpPr>
        <xdr:cNvPr id="9" name="TextBox 8">
          <a:extLst>
            <a:ext uri="{FF2B5EF4-FFF2-40B4-BE49-F238E27FC236}">
              <a16:creationId xmlns:a16="http://schemas.microsoft.com/office/drawing/2014/main" id="{F299CE8D-BC44-E28C-935B-0F3A61CAE60E}"/>
            </a:ext>
          </a:extLst>
        </xdr:cNvPr>
        <xdr:cNvSpPr txBox="1"/>
      </xdr:nvSpPr>
      <xdr:spPr>
        <a:xfrm>
          <a:off x="3840480" y="259080"/>
          <a:ext cx="191262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0EF7128-7422-4A14-BCB2-F624C1661AB8}" type="TxLink">
            <a:rPr lang="en-US" sz="20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pPr/>
            <a:t>₹3.58 Cr</a:t>
          </a:fld>
          <a:endParaRPr lang="en-IN" sz="20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12</xdr:col>
      <xdr:colOff>129540</xdr:colOff>
      <xdr:row>1</xdr:row>
      <xdr:rowOff>114300</xdr:rowOff>
    </xdr:from>
    <xdr:to>
      <xdr:col>15</xdr:col>
      <xdr:colOff>213360</xdr:colOff>
      <xdr:row>4</xdr:row>
      <xdr:rowOff>0</xdr:rowOff>
    </xdr:to>
    <xdr:sp macro="" textlink="Pivots!C18">
      <xdr:nvSpPr>
        <xdr:cNvPr id="10" name="TextBox 9">
          <a:extLst>
            <a:ext uri="{FF2B5EF4-FFF2-40B4-BE49-F238E27FC236}">
              <a16:creationId xmlns:a16="http://schemas.microsoft.com/office/drawing/2014/main" id="{BADA68D8-3856-2D25-FAF3-43420BAAB8F8}"/>
            </a:ext>
          </a:extLst>
        </xdr:cNvPr>
        <xdr:cNvSpPr txBox="1"/>
      </xdr:nvSpPr>
      <xdr:spPr>
        <a:xfrm>
          <a:off x="7444740" y="297180"/>
          <a:ext cx="191262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53D46B6-9F90-4119-8ECD-A9F7F279A8C6}" type="TxLink">
            <a:rPr lang="en-US" sz="20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/>
            <a:t>71.70%</a:t>
          </a:fld>
          <a:endParaRPr lang="en-IN" sz="4000">
            <a:solidFill>
              <a:srgbClr val="FF0000"/>
            </a:solidFill>
          </a:endParaRPr>
        </a:p>
      </xdr:txBody>
    </xdr:sp>
    <xdr:clientData/>
  </xdr:twoCellAnchor>
  <xdr:twoCellAnchor>
    <xdr:from>
      <xdr:col>18</xdr:col>
      <xdr:colOff>30480</xdr:colOff>
      <xdr:row>1</xdr:row>
      <xdr:rowOff>91440</xdr:rowOff>
    </xdr:from>
    <xdr:to>
      <xdr:col>21</xdr:col>
      <xdr:colOff>114300</xdr:colOff>
      <xdr:row>3</xdr:row>
      <xdr:rowOff>160020</xdr:rowOff>
    </xdr:to>
    <xdr:sp macro="" textlink="Pivots!K8">
      <xdr:nvSpPr>
        <xdr:cNvPr id="11" name="TextBox 10">
          <a:extLst>
            <a:ext uri="{FF2B5EF4-FFF2-40B4-BE49-F238E27FC236}">
              <a16:creationId xmlns:a16="http://schemas.microsoft.com/office/drawing/2014/main" id="{61A9FFC2-3097-BE8F-A488-E53FE5DD99C1}"/>
            </a:ext>
          </a:extLst>
        </xdr:cNvPr>
        <xdr:cNvSpPr txBox="1"/>
      </xdr:nvSpPr>
      <xdr:spPr>
        <a:xfrm>
          <a:off x="11003280" y="274320"/>
          <a:ext cx="191262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F38C74-AF40-4CB4-B56A-8C789F788387}" type="TxLink">
            <a:rPr lang="en-US" sz="2000" b="1" i="0" u="none" strike="noStrike">
              <a:solidFill>
                <a:srgbClr val="12D46E"/>
              </a:solidFill>
              <a:latin typeface="Calibri"/>
              <a:ea typeface="Calibri"/>
              <a:cs typeface="Calibri"/>
            </a:rPr>
            <a:pPr/>
            <a:t>Referral</a:t>
          </a:fld>
          <a:endParaRPr lang="en-IN" sz="4000" b="1">
            <a:solidFill>
              <a:srgbClr val="12D46E"/>
            </a:solidFill>
          </a:endParaRPr>
        </a:p>
      </xdr:txBody>
    </xdr:sp>
    <xdr:clientData/>
  </xdr:twoCellAnchor>
  <xdr:twoCellAnchor>
    <xdr:from>
      <xdr:col>24</xdr:col>
      <xdr:colOff>68580</xdr:colOff>
      <xdr:row>1</xdr:row>
      <xdr:rowOff>53340</xdr:rowOff>
    </xdr:from>
    <xdr:to>
      <xdr:col>27</xdr:col>
      <xdr:colOff>152400</xdr:colOff>
      <xdr:row>3</xdr:row>
      <xdr:rowOff>121920</xdr:rowOff>
    </xdr:to>
    <xdr:sp macro="" textlink="Pivots!E8">
      <xdr:nvSpPr>
        <xdr:cNvPr id="12" name="TextBox 11">
          <a:extLst>
            <a:ext uri="{FF2B5EF4-FFF2-40B4-BE49-F238E27FC236}">
              <a16:creationId xmlns:a16="http://schemas.microsoft.com/office/drawing/2014/main" id="{26AE6261-BE3C-CEF0-14BA-C9C263D05BEC}"/>
            </a:ext>
          </a:extLst>
        </xdr:cNvPr>
        <xdr:cNvSpPr txBox="1"/>
      </xdr:nvSpPr>
      <xdr:spPr>
        <a:xfrm>
          <a:off x="14698980" y="236220"/>
          <a:ext cx="191262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0EF7128-7422-4A14-BCB2-F624C1661AB8}" type="TxLink">
            <a:rPr lang="en-US" sz="20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pPr/>
            <a:t>₹3.58 Cr</a:t>
          </a:fld>
          <a:endParaRPr lang="en-IN" sz="20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0</xdr:col>
      <xdr:colOff>259080</xdr:colOff>
      <xdr:row>1</xdr:row>
      <xdr:rowOff>99060</xdr:rowOff>
    </xdr:from>
    <xdr:to>
      <xdr:col>3</xdr:col>
      <xdr:colOff>342900</xdr:colOff>
      <xdr:row>3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055ECA-57CA-5F5C-DA59-533866EFDC1F}"/>
            </a:ext>
          </a:extLst>
        </xdr:cNvPr>
        <xdr:cNvSpPr txBox="1"/>
      </xdr:nvSpPr>
      <xdr:spPr>
        <a:xfrm>
          <a:off x="259080" y="281940"/>
          <a:ext cx="191262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t>1,000</a:t>
          </a:r>
        </a:p>
      </xdr:txBody>
    </xdr:sp>
    <xdr:clientData/>
  </xdr:twoCellAnchor>
  <xdr:twoCellAnchor>
    <xdr:from>
      <xdr:col>0</xdr:col>
      <xdr:colOff>251460</xdr:colOff>
      <xdr:row>0</xdr:row>
      <xdr:rowOff>68580</xdr:rowOff>
    </xdr:from>
    <xdr:to>
      <xdr:col>2</xdr:col>
      <xdr:colOff>487680</xdr:colOff>
      <xdr:row>2</xdr:row>
      <xdr:rowOff>30480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B7E8B2B-6D5D-97CF-565A-7DF6D161E4F6}"/>
            </a:ext>
          </a:extLst>
        </xdr:cNvPr>
        <xdr:cNvSpPr txBox="1"/>
      </xdr:nvSpPr>
      <xdr:spPr>
        <a:xfrm>
          <a:off x="251460" y="68580"/>
          <a:ext cx="14554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>
                  <a:lumMod val="75000"/>
                  <a:lumOff val="25000"/>
                </a:schemeClr>
              </a:solidFill>
            </a:rPr>
            <a:t>Total</a:t>
          </a:r>
          <a:r>
            <a:rPr lang="en-IN" sz="1600" baseline="0">
              <a:solidFill>
                <a:schemeClr val="tx1">
                  <a:lumMod val="75000"/>
                  <a:lumOff val="25000"/>
                </a:schemeClr>
              </a:solidFill>
            </a:rPr>
            <a:t> Donors</a:t>
          </a:r>
          <a:endParaRPr lang="en-IN" sz="16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6</xdr:col>
      <xdr:colOff>152400</xdr:colOff>
      <xdr:row>0</xdr:row>
      <xdr:rowOff>45720</xdr:rowOff>
    </xdr:from>
    <xdr:to>
      <xdr:col>8</xdr:col>
      <xdr:colOff>388620</xdr:colOff>
      <xdr:row>2</xdr:row>
      <xdr:rowOff>7620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2FAA420-A878-55D2-24BC-E72BC7377F48}"/>
            </a:ext>
          </a:extLst>
        </xdr:cNvPr>
        <xdr:cNvSpPr txBox="1"/>
      </xdr:nvSpPr>
      <xdr:spPr>
        <a:xfrm>
          <a:off x="3810000" y="45720"/>
          <a:ext cx="14554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>
                  <a:lumMod val="75000"/>
                  <a:lumOff val="25000"/>
                </a:schemeClr>
              </a:solidFill>
            </a:rPr>
            <a:t>Total</a:t>
          </a:r>
          <a:r>
            <a:rPr lang="en-IN" sz="1600" baseline="0">
              <a:solidFill>
                <a:schemeClr val="tx1">
                  <a:lumMod val="75000"/>
                  <a:lumOff val="25000"/>
                </a:schemeClr>
              </a:solidFill>
            </a:rPr>
            <a:t> Raised</a:t>
          </a:r>
          <a:endParaRPr lang="en-IN" sz="16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12</xdr:col>
      <xdr:colOff>121920</xdr:colOff>
      <xdr:row>0</xdr:row>
      <xdr:rowOff>60960</xdr:rowOff>
    </xdr:from>
    <xdr:to>
      <xdr:col>15</xdr:col>
      <xdr:colOff>327660</xdr:colOff>
      <xdr:row>2</xdr:row>
      <xdr:rowOff>22860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4C201CC-14F6-3BCF-FCC2-69754AC8F9FF}"/>
            </a:ext>
          </a:extLst>
        </xdr:cNvPr>
        <xdr:cNvSpPr txBox="1"/>
      </xdr:nvSpPr>
      <xdr:spPr>
        <a:xfrm>
          <a:off x="7437120" y="60960"/>
          <a:ext cx="20345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>
                  <a:lumMod val="75000"/>
                  <a:lumOff val="25000"/>
                </a:schemeClr>
              </a:solidFill>
            </a:rPr>
            <a:t>Lapsed Donor Rate</a:t>
          </a:r>
        </a:p>
      </xdr:txBody>
    </xdr:sp>
    <xdr:clientData/>
  </xdr:twoCellAnchor>
  <xdr:twoCellAnchor>
    <xdr:from>
      <xdr:col>18</xdr:col>
      <xdr:colOff>38100</xdr:colOff>
      <xdr:row>0</xdr:row>
      <xdr:rowOff>68580</xdr:rowOff>
    </xdr:from>
    <xdr:to>
      <xdr:col>21</xdr:col>
      <xdr:colOff>266700</xdr:colOff>
      <xdr:row>2</xdr:row>
      <xdr:rowOff>30480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1EEB2CB-1388-0553-48C0-EC649B931D30}"/>
            </a:ext>
          </a:extLst>
        </xdr:cNvPr>
        <xdr:cNvSpPr txBox="1"/>
      </xdr:nvSpPr>
      <xdr:spPr>
        <a:xfrm>
          <a:off x="11010900" y="68580"/>
          <a:ext cx="205740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tx1">
                  <a:lumMod val="75000"/>
                  <a:lumOff val="25000"/>
                </a:schemeClr>
              </a:solidFill>
            </a:rPr>
            <a:t>Best</a:t>
          </a:r>
          <a:r>
            <a:rPr lang="en-IN" sz="1600" baseline="0">
              <a:solidFill>
                <a:schemeClr val="tx1">
                  <a:lumMod val="75000"/>
                  <a:lumOff val="25000"/>
                </a:schemeClr>
              </a:solidFill>
            </a:rPr>
            <a:t> Channel ROI</a:t>
          </a:r>
          <a:endParaRPr lang="en-IN" sz="16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137160</xdr:colOff>
      <xdr:row>4</xdr:row>
      <xdr:rowOff>144780</xdr:rowOff>
    </xdr:from>
    <xdr:to>
      <xdr:col>9</xdr:col>
      <xdr:colOff>312420</xdr:colOff>
      <xdr:row>19</xdr:row>
      <xdr:rowOff>114300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677E61BB-1301-9174-8339-871DBF11FEB5}"/>
            </a:ext>
          </a:extLst>
        </xdr:cNvPr>
        <xdr:cNvSpPr/>
      </xdr:nvSpPr>
      <xdr:spPr>
        <a:xfrm>
          <a:off x="137160" y="876300"/>
          <a:ext cx="5661660" cy="2712720"/>
        </a:xfrm>
        <a:prstGeom prst="roundRect">
          <a:avLst>
            <a:gd name="adj" fmla="val 3136"/>
          </a:avLst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365760</xdr:colOff>
      <xdr:row>4</xdr:row>
      <xdr:rowOff>160020</xdr:rowOff>
    </xdr:from>
    <xdr:to>
      <xdr:col>16</xdr:col>
      <xdr:colOff>106680</xdr:colOff>
      <xdr:row>19</xdr:row>
      <xdr:rowOff>91440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438620B-0E68-9788-0E26-297B481FE53B}"/>
            </a:ext>
          </a:extLst>
        </xdr:cNvPr>
        <xdr:cNvSpPr/>
      </xdr:nvSpPr>
      <xdr:spPr>
        <a:xfrm>
          <a:off x="5852160" y="891540"/>
          <a:ext cx="4008120" cy="2674620"/>
        </a:xfrm>
        <a:prstGeom prst="roundRect">
          <a:avLst>
            <a:gd name="adj" fmla="val 3136"/>
          </a:avLst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175260</xdr:colOff>
      <xdr:row>4</xdr:row>
      <xdr:rowOff>167640</xdr:rowOff>
    </xdr:from>
    <xdr:to>
      <xdr:col>9</xdr:col>
      <xdr:colOff>594360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615864-5314-4264-846E-16A8A5FA5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220980</xdr:colOff>
      <xdr:row>19</xdr:row>
      <xdr:rowOff>152400</xdr:rowOff>
    </xdr:from>
    <xdr:to>
      <xdr:col>8</xdr:col>
      <xdr:colOff>594360</xdr:colOff>
      <xdr:row>32</xdr:row>
      <xdr:rowOff>144780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9A67EF2-AF06-EFDF-CE26-05FD3DB590E6}"/>
            </a:ext>
          </a:extLst>
        </xdr:cNvPr>
        <xdr:cNvSpPr/>
      </xdr:nvSpPr>
      <xdr:spPr>
        <a:xfrm>
          <a:off x="220980" y="3627120"/>
          <a:ext cx="5250180" cy="2369820"/>
        </a:xfrm>
        <a:prstGeom prst="roundRect">
          <a:avLst>
            <a:gd name="adj" fmla="val 3136"/>
          </a:avLst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297180</xdr:colOff>
      <xdr:row>20</xdr:row>
      <xdr:rowOff>0</xdr:rowOff>
    </xdr:from>
    <xdr:to>
      <xdr:col>9</xdr:col>
      <xdr:colOff>220980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985BCD-B25C-4619-A544-739B7DD8B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518160</xdr:colOff>
      <xdr:row>4</xdr:row>
      <xdr:rowOff>152400</xdr:rowOff>
    </xdr:from>
    <xdr:to>
      <xdr:col>15</xdr:col>
      <xdr:colOff>213360</xdr:colOff>
      <xdr:row>19</xdr:row>
      <xdr:rowOff>152400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7A0C6F7-F9D3-4F95-9EB6-23782730B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468480</xdr:colOff>
      <xdr:row>23</xdr:row>
      <xdr:rowOff>129540</xdr:rowOff>
    </xdr:from>
    <xdr:to>
      <xdr:col>21</xdr:col>
      <xdr:colOff>11069</xdr:colOff>
      <xdr:row>32</xdr:row>
      <xdr:rowOff>7620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E2B135E-7234-B61D-8DEB-B826E3986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2080" y="4335780"/>
          <a:ext cx="4114589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845820</xdr:colOff>
      <xdr:row>21</xdr:row>
      <xdr:rowOff>0</xdr:rowOff>
    </xdr:from>
    <xdr:to>
      <xdr:col>19</xdr:col>
      <xdr:colOff>861060</xdr:colOff>
      <xdr:row>23</xdr:row>
      <xdr:rowOff>91440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A154F47-CCF0-4F55-03C9-D875FBF4D9DB}"/>
            </a:ext>
          </a:extLst>
        </xdr:cNvPr>
        <xdr:cNvSpPr txBox="1"/>
      </xdr:nvSpPr>
      <xdr:spPr>
        <a:xfrm>
          <a:off x="11376660" y="3840480"/>
          <a:ext cx="214884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tx1"/>
              </a:solidFill>
            </a:rPr>
            <a:t>ROI ON CANPAIGNS</a:t>
          </a:r>
        </a:p>
      </xdr:txBody>
    </xdr:sp>
    <xdr:clientData/>
  </xdr:twoCellAnchor>
  <xdr:twoCellAnchor>
    <xdr:from>
      <xdr:col>9</xdr:col>
      <xdr:colOff>106680</xdr:colOff>
      <xdr:row>19</xdr:row>
      <xdr:rowOff>152400</xdr:rowOff>
    </xdr:from>
    <xdr:to>
      <xdr:col>16</xdr:col>
      <xdr:colOff>205740</xdr:colOff>
      <xdr:row>32</xdr:row>
      <xdr:rowOff>144780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CB23B76D-8EB7-2C6A-B643-2AE3DAFB0AA8}"/>
            </a:ext>
          </a:extLst>
        </xdr:cNvPr>
        <xdr:cNvSpPr/>
      </xdr:nvSpPr>
      <xdr:spPr>
        <a:xfrm>
          <a:off x="5593080" y="3627120"/>
          <a:ext cx="4366260" cy="2369820"/>
        </a:xfrm>
        <a:prstGeom prst="roundRect">
          <a:avLst>
            <a:gd name="adj" fmla="val 3136"/>
          </a:avLst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182880</xdr:colOff>
      <xdr:row>4</xdr:row>
      <xdr:rowOff>137160</xdr:rowOff>
    </xdr:from>
    <xdr:to>
      <xdr:col>21</xdr:col>
      <xdr:colOff>60960</xdr:colOff>
      <xdr:row>19</xdr:row>
      <xdr:rowOff>45720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2CBE9AAF-27DC-F7A6-A395-392942303828}"/>
            </a:ext>
          </a:extLst>
        </xdr:cNvPr>
        <xdr:cNvSpPr/>
      </xdr:nvSpPr>
      <xdr:spPr>
        <a:xfrm>
          <a:off x="9936480" y="868680"/>
          <a:ext cx="4450080" cy="2651760"/>
        </a:xfrm>
        <a:prstGeom prst="roundRect">
          <a:avLst>
            <a:gd name="adj" fmla="val 3136"/>
          </a:avLst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198120</xdr:colOff>
      <xdr:row>20</xdr:row>
      <xdr:rowOff>53340</xdr:rowOff>
    </xdr:from>
    <xdr:to>
      <xdr:col>16</xdr:col>
      <xdr:colOff>129540</xdr:colOff>
      <xdr:row>32</xdr:row>
      <xdr:rowOff>45720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11B42A7-BDF5-2530-A961-837BD1AF5231}"/>
            </a:ext>
          </a:extLst>
        </xdr:cNvPr>
        <xdr:cNvSpPr txBox="1"/>
      </xdr:nvSpPr>
      <xdr:spPr>
        <a:xfrm>
          <a:off x="5684520" y="3710940"/>
          <a:ext cx="4198620" cy="2186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tx1"/>
              </a:solidFill>
            </a:rPr>
            <a:t>KEY</a:t>
          </a:r>
          <a:r>
            <a:rPr lang="en-IN" sz="1800" baseline="0">
              <a:solidFill>
                <a:schemeClr val="tx1"/>
              </a:solidFill>
            </a:rPr>
            <a:t> OBSERVATIONS</a:t>
          </a:r>
        </a:p>
        <a:p>
          <a:endParaRPr lang="en-IN" sz="1000">
            <a:solidFill>
              <a:schemeClr val="tx1"/>
            </a:solidFill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/>
            <a:t>10L+ donors = 24% of base but 58% of funds highest priority    </a:t>
          </a:r>
          <a:r>
            <a:rPr lang="en-IN" sz="1300" baseline="0"/>
            <a:t> </a:t>
          </a:r>
          <a:r>
            <a:rPr lang="en-IN" sz="1300"/>
            <a:t>segment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/>
            <a:t>Events costs 19x more per ₹ raised than Referral yet has 2nd worst retention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/>
            <a:t>Referral = cheapest channel but 74% donors lapse needs retention follow-up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300"/>
            <a:t>Education drives 60% of donations</a:t>
          </a:r>
          <a:endParaRPr lang="en-IN" sz="13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190500</xdr:colOff>
      <xdr:row>4</xdr:row>
      <xdr:rowOff>152400</xdr:rowOff>
    </xdr:from>
    <xdr:to>
      <xdr:col>21</xdr:col>
      <xdr:colOff>121920</xdr:colOff>
      <xdr:row>19</xdr:row>
      <xdr:rowOff>53340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8F0AC26-3A61-4627-9C9D-08916CA9C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 Yadav" refreshedDate="46131.48989016204" createdVersion="8" refreshedVersion="8" minRefreshableVersion="3" recordCount="1000" xr:uid="{12E9FD3D-61D2-41E4-B34A-DEB3C6FCD96B}">
  <cacheSource type="worksheet">
    <worksheetSource name="donor_data"/>
  </cacheSource>
  <cacheFields count="16">
    <cacheField name="donor_id" numFmtId="0">
      <sharedItems containsSemiMixedTypes="0" containsString="0" containsNumber="1" containsInteger="1" minValue="1" maxValue="1000"/>
    </cacheField>
    <cacheField name="name" numFmtId="0">
      <sharedItems count="1000">
        <s v="Donor_0001"/>
        <s v="Donor_0002"/>
        <s v="Donor_0003"/>
        <s v="Donor_0004"/>
        <s v="Donor_0005"/>
        <s v="Donor_0006"/>
        <s v="Donor_0007"/>
        <s v="Donor_0008"/>
        <s v="Donor_0009"/>
        <s v="Donor_0010"/>
        <s v="Donor_0011"/>
        <s v="Donor_0012"/>
        <s v="Donor_0013"/>
        <s v="Donor_0014"/>
        <s v="Donor_0015"/>
        <s v="Donor_0016"/>
        <s v="Donor_0017"/>
        <s v="Donor_0018"/>
        <s v="Donor_0019"/>
        <s v="Donor_0020"/>
        <s v="Donor_0021"/>
        <s v="Donor_0022"/>
        <s v="Donor_0023"/>
        <s v="Donor_0024"/>
        <s v="Donor_0025"/>
        <s v="Donor_0026"/>
        <s v="Donor_0027"/>
        <s v="Donor_0028"/>
        <s v="Donor_0029"/>
        <s v="Donor_0030"/>
        <s v="Donor_0031"/>
        <s v="Donor_0032"/>
        <s v="Donor_0033"/>
        <s v="Donor_0034"/>
        <s v="Donor_0035"/>
        <s v="Donor_0036"/>
        <s v="Donor_0037"/>
        <s v="Donor_0038"/>
        <s v="Donor_0039"/>
        <s v="Donor_0040"/>
        <s v="Donor_0041"/>
        <s v="Donor_0042"/>
        <s v="Donor_0043"/>
        <s v="Donor_0044"/>
        <s v="Donor_0045"/>
        <s v="Donor_0046"/>
        <s v="Donor_0047"/>
        <s v="Donor_0048"/>
        <s v="Donor_0049"/>
        <s v="Donor_0050"/>
        <s v="Donor_0051"/>
        <s v="Donor_0052"/>
        <s v="Donor_0053"/>
        <s v="Donor_0054"/>
        <s v="Donor_0055"/>
        <s v="Donor_0056"/>
        <s v="Donor_0057"/>
        <s v="Donor_0058"/>
        <s v="Donor_0059"/>
        <s v="Donor_0060"/>
        <s v="Donor_0061"/>
        <s v="Donor_0062"/>
        <s v="Donor_0063"/>
        <s v="Donor_0064"/>
        <s v="Donor_0065"/>
        <s v="Donor_0066"/>
        <s v="Donor_0067"/>
        <s v="Donor_0068"/>
        <s v="Donor_0069"/>
        <s v="Donor_0070"/>
        <s v="Donor_0071"/>
        <s v="Donor_0072"/>
        <s v="Donor_0073"/>
        <s v="Donor_0074"/>
        <s v="Donor_0075"/>
        <s v="Donor_0076"/>
        <s v="Donor_0077"/>
        <s v="Donor_0078"/>
        <s v="Donor_0079"/>
        <s v="Donor_0080"/>
        <s v="Donor_0081"/>
        <s v="Donor_0082"/>
        <s v="Donor_0083"/>
        <s v="Donor_0084"/>
        <s v="Donor_0085"/>
        <s v="Donor_0086"/>
        <s v="Donor_0087"/>
        <s v="Donor_0088"/>
        <s v="Donor_0089"/>
        <s v="Donor_0090"/>
        <s v="Donor_0091"/>
        <s v="Donor_0092"/>
        <s v="Donor_0093"/>
        <s v="Donor_0094"/>
        <s v="Donor_0095"/>
        <s v="Donor_0096"/>
        <s v="Donor_0097"/>
        <s v="Donor_0098"/>
        <s v="Donor_0099"/>
        <s v="Donor_0100"/>
        <s v="Donor_0101"/>
        <s v="Donor_0102"/>
        <s v="Donor_0103"/>
        <s v="Donor_0104"/>
        <s v="Donor_0105"/>
        <s v="Donor_0106"/>
        <s v="Donor_0107"/>
        <s v="Donor_0108"/>
        <s v="Donor_0109"/>
        <s v="Donor_0110"/>
        <s v="Donor_0111"/>
        <s v="Donor_0112"/>
        <s v="Donor_0113"/>
        <s v="Donor_0114"/>
        <s v="Donor_0115"/>
        <s v="Donor_0116"/>
        <s v="Donor_0117"/>
        <s v="Donor_0118"/>
        <s v="Donor_0119"/>
        <s v="Donor_0120"/>
        <s v="Donor_0121"/>
        <s v="Donor_0122"/>
        <s v="Donor_0123"/>
        <s v="Donor_0124"/>
        <s v="Donor_0125"/>
        <s v="Donor_0126"/>
        <s v="Donor_0127"/>
        <s v="Donor_0128"/>
        <s v="Donor_0129"/>
        <s v="Donor_0130"/>
        <s v="Donor_0131"/>
        <s v="Donor_0132"/>
        <s v="Donor_0133"/>
        <s v="Donor_0134"/>
        <s v="Donor_0135"/>
        <s v="Donor_0136"/>
        <s v="Donor_0137"/>
        <s v="Donor_0138"/>
        <s v="Donor_0139"/>
        <s v="Donor_0140"/>
        <s v="Donor_0141"/>
        <s v="Donor_0142"/>
        <s v="Donor_0143"/>
        <s v="Donor_0144"/>
        <s v="Donor_0145"/>
        <s v="Donor_0146"/>
        <s v="Donor_0147"/>
        <s v="Donor_0148"/>
        <s v="Donor_0149"/>
        <s v="Donor_0150"/>
        <s v="Donor_0151"/>
        <s v="Donor_0152"/>
        <s v="Donor_0153"/>
        <s v="Donor_0154"/>
        <s v="Donor_0155"/>
        <s v="Donor_0156"/>
        <s v="Donor_0157"/>
        <s v="Donor_0158"/>
        <s v="Donor_0159"/>
        <s v="Donor_0160"/>
        <s v="Donor_0161"/>
        <s v="Donor_0162"/>
        <s v="Donor_0163"/>
        <s v="Donor_0164"/>
        <s v="Donor_0165"/>
        <s v="Donor_0166"/>
        <s v="Donor_0167"/>
        <s v="Donor_0168"/>
        <s v="Donor_0169"/>
        <s v="Donor_0170"/>
        <s v="Donor_0171"/>
        <s v="Donor_0172"/>
        <s v="Donor_0173"/>
        <s v="Donor_0174"/>
        <s v="Donor_0175"/>
        <s v="Donor_0176"/>
        <s v="Donor_0177"/>
        <s v="Donor_0178"/>
        <s v="Donor_0179"/>
        <s v="Donor_0180"/>
        <s v="Donor_0181"/>
        <s v="Donor_0182"/>
        <s v="Donor_0183"/>
        <s v="Donor_0184"/>
        <s v="Donor_0185"/>
        <s v="Donor_0186"/>
        <s v="Donor_0187"/>
        <s v="Donor_0188"/>
        <s v="Donor_0189"/>
        <s v="Donor_0190"/>
        <s v="Donor_0191"/>
        <s v="Donor_0192"/>
        <s v="Donor_0193"/>
        <s v="Donor_0194"/>
        <s v="Donor_0195"/>
        <s v="Donor_0196"/>
        <s v="Donor_0197"/>
        <s v="Donor_0198"/>
        <s v="Donor_0199"/>
        <s v="Donor_0200"/>
        <s v="Donor_0201"/>
        <s v="Donor_0202"/>
        <s v="Donor_0203"/>
        <s v="Donor_0204"/>
        <s v="Donor_0205"/>
        <s v="Donor_0206"/>
        <s v="Donor_0207"/>
        <s v="Donor_0208"/>
        <s v="Donor_0209"/>
        <s v="Donor_0210"/>
        <s v="Donor_0211"/>
        <s v="Donor_0212"/>
        <s v="Donor_0213"/>
        <s v="Donor_0214"/>
        <s v="Donor_0215"/>
        <s v="Donor_0216"/>
        <s v="Donor_0217"/>
        <s v="Donor_0218"/>
        <s v="Donor_0219"/>
        <s v="Donor_0220"/>
        <s v="Donor_0221"/>
        <s v="Donor_0222"/>
        <s v="Donor_0223"/>
        <s v="Donor_0224"/>
        <s v="Donor_0225"/>
        <s v="Donor_0226"/>
        <s v="Donor_0227"/>
        <s v="Donor_0228"/>
        <s v="Donor_0229"/>
        <s v="Donor_0230"/>
        <s v="Donor_0231"/>
        <s v="Donor_0232"/>
        <s v="Donor_0233"/>
        <s v="Donor_0234"/>
        <s v="Donor_0235"/>
        <s v="Donor_0236"/>
        <s v="Donor_0237"/>
        <s v="Donor_0238"/>
        <s v="Donor_0239"/>
        <s v="Donor_0240"/>
        <s v="Donor_0241"/>
        <s v="Donor_0242"/>
        <s v="Donor_0243"/>
        <s v="Donor_0244"/>
        <s v="Donor_0245"/>
        <s v="Donor_0246"/>
        <s v="Donor_0247"/>
        <s v="Donor_0248"/>
        <s v="Donor_0249"/>
        <s v="Donor_0250"/>
        <s v="Donor_0251"/>
        <s v="Donor_0252"/>
        <s v="Donor_0253"/>
        <s v="Donor_0254"/>
        <s v="Donor_0255"/>
        <s v="Donor_0256"/>
        <s v="Donor_0257"/>
        <s v="Donor_0258"/>
        <s v="Donor_0259"/>
        <s v="Donor_0260"/>
        <s v="Donor_0261"/>
        <s v="Donor_0262"/>
        <s v="Donor_0263"/>
        <s v="Donor_0264"/>
        <s v="Donor_0265"/>
        <s v="Donor_0266"/>
        <s v="Donor_0267"/>
        <s v="Donor_0268"/>
        <s v="Donor_0269"/>
        <s v="Donor_0270"/>
        <s v="Donor_0271"/>
        <s v="Donor_0272"/>
        <s v="Donor_0273"/>
        <s v="Donor_0274"/>
        <s v="Donor_0275"/>
        <s v="Donor_0276"/>
        <s v="Donor_0277"/>
        <s v="Donor_0278"/>
        <s v="Donor_0279"/>
        <s v="Donor_0280"/>
        <s v="Donor_0281"/>
        <s v="Donor_0282"/>
        <s v="Donor_0283"/>
        <s v="Donor_0284"/>
        <s v="Donor_0285"/>
        <s v="Donor_0286"/>
        <s v="Donor_0287"/>
        <s v="Donor_0288"/>
        <s v="Donor_0289"/>
        <s v="Donor_0290"/>
        <s v="Donor_0291"/>
        <s v="Donor_0292"/>
        <s v="Donor_0293"/>
        <s v="Donor_0294"/>
        <s v="Donor_0295"/>
        <s v="Donor_0296"/>
        <s v="Donor_0297"/>
        <s v="Donor_0298"/>
        <s v="Donor_0299"/>
        <s v="Donor_0300"/>
        <s v="Donor_0301"/>
        <s v="Donor_0302"/>
        <s v="Donor_0303"/>
        <s v="Donor_0304"/>
        <s v="Donor_0305"/>
        <s v="Donor_0306"/>
        <s v="Donor_0307"/>
        <s v="Donor_0308"/>
        <s v="Donor_0309"/>
        <s v="Donor_0310"/>
        <s v="Donor_0311"/>
        <s v="Donor_0312"/>
        <s v="Donor_0313"/>
        <s v="Donor_0314"/>
        <s v="Donor_0315"/>
        <s v="Donor_0316"/>
        <s v="Donor_0317"/>
        <s v="Donor_0318"/>
        <s v="Donor_0319"/>
        <s v="Donor_0320"/>
        <s v="Donor_0321"/>
        <s v="Donor_0322"/>
        <s v="Donor_0323"/>
        <s v="Donor_0324"/>
        <s v="Donor_0325"/>
        <s v="Donor_0326"/>
        <s v="Donor_0327"/>
        <s v="Donor_0328"/>
        <s v="Donor_0329"/>
        <s v="Donor_0330"/>
        <s v="Donor_0331"/>
        <s v="Donor_0332"/>
        <s v="Donor_0333"/>
        <s v="Donor_0334"/>
        <s v="Donor_0335"/>
        <s v="Donor_0336"/>
        <s v="Donor_0337"/>
        <s v="Donor_0338"/>
        <s v="Donor_0339"/>
        <s v="Donor_0340"/>
        <s v="Donor_0341"/>
        <s v="Donor_0342"/>
        <s v="Donor_0343"/>
        <s v="Donor_0344"/>
        <s v="Donor_0345"/>
        <s v="Donor_0346"/>
        <s v="Donor_0347"/>
        <s v="Donor_0348"/>
        <s v="Donor_0349"/>
        <s v="Donor_0350"/>
        <s v="Donor_0351"/>
        <s v="Donor_0352"/>
        <s v="Donor_0353"/>
        <s v="Donor_0354"/>
        <s v="Donor_0355"/>
        <s v="Donor_0356"/>
        <s v="Donor_0357"/>
        <s v="Donor_0358"/>
        <s v="Donor_0359"/>
        <s v="Donor_0360"/>
        <s v="Donor_0361"/>
        <s v="Donor_0362"/>
        <s v="Donor_0363"/>
        <s v="Donor_0364"/>
        <s v="Donor_0365"/>
        <s v="Donor_0366"/>
        <s v="Donor_0367"/>
        <s v="Donor_0368"/>
        <s v="Donor_0369"/>
        <s v="Donor_0370"/>
        <s v="Donor_0371"/>
        <s v="Donor_0372"/>
        <s v="Donor_0373"/>
        <s v="Donor_0374"/>
        <s v="Donor_0375"/>
        <s v="Donor_0376"/>
        <s v="Donor_0377"/>
        <s v="Donor_0378"/>
        <s v="Donor_0379"/>
        <s v="Donor_0380"/>
        <s v="Donor_0381"/>
        <s v="Donor_0382"/>
        <s v="Donor_0383"/>
        <s v="Donor_0384"/>
        <s v="Donor_0385"/>
        <s v="Donor_0386"/>
        <s v="Donor_0387"/>
        <s v="Donor_0388"/>
        <s v="Donor_0389"/>
        <s v="Donor_0390"/>
        <s v="Donor_0391"/>
        <s v="Donor_0392"/>
        <s v="Donor_0393"/>
        <s v="Donor_0394"/>
        <s v="Donor_0395"/>
        <s v="Donor_0396"/>
        <s v="Donor_0397"/>
        <s v="Donor_0398"/>
        <s v="Donor_0399"/>
        <s v="Donor_0400"/>
        <s v="Donor_0401"/>
        <s v="Donor_0402"/>
        <s v="Donor_0403"/>
        <s v="Donor_0404"/>
        <s v="Donor_0405"/>
        <s v="Donor_0406"/>
        <s v="Donor_0407"/>
        <s v="Donor_0408"/>
        <s v="Donor_0409"/>
        <s v="Donor_0410"/>
        <s v="Donor_0411"/>
        <s v="Donor_0412"/>
        <s v="Donor_0413"/>
        <s v="Donor_0414"/>
        <s v="Donor_0415"/>
        <s v="Donor_0416"/>
        <s v="Donor_0417"/>
        <s v="Donor_0418"/>
        <s v="Donor_0419"/>
        <s v="Donor_0420"/>
        <s v="Donor_0421"/>
        <s v="Donor_0422"/>
        <s v="Donor_0423"/>
        <s v="Donor_0424"/>
        <s v="Donor_0425"/>
        <s v="Donor_0426"/>
        <s v="Donor_0427"/>
        <s v="Donor_0428"/>
        <s v="Donor_0429"/>
        <s v="Donor_0430"/>
        <s v="Donor_0431"/>
        <s v="Donor_0432"/>
        <s v="Donor_0433"/>
        <s v="Donor_0434"/>
        <s v="Donor_0435"/>
        <s v="Donor_0436"/>
        <s v="Donor_0437"/>
        <s v="Donor_0438"/>
        <s v="Donor_0439"/>
        <s v="Donor_0440"/>
        <s v="Donor_0441"/>
        <s v="Donor_0442"/>
        <s v="Donor_0443"/>
        <s v="Donor_0444"/>
        <s v="Donor_0445"/>
        <s v="Donor_0446"/>
        <s v="Donor_0447"/>
        <s v="Donor_0448"/>
        <s v="Donor_0449"/>
        <s v="Donor_0450"/>
        <s v="Donor_0451"/>
        <s v="Donor_0452"/>
        <s v="Donor_0453"/>
        <s v="Donor_0454"/>
        <s v="Donor_0455"/>
        <s v="Donor_0456"/>
        <s v="Donor_0457"/>
        <s v="Donor_0458"/>
        <s v="Donor_0459"/>
        <s v="Donor_0460"/>
        <s v="Donor_0461"/>
        <s v="Donor_0462"/>
        <s v="Donor_0463"/>
        <s v="Donor_0464"/>
        <s v="Donor_0465"/>
        <s v="Donor_0466"/>
        <s v="Donor_0467"/>
        <s v="Donor_0468"/>
        <s v="Donor_0469"/>
        <s v="Donor_0470"/>
        <s v="Donor_0471"/>
        <s v="Donor_0472"/>
        <s v="Donor_0473"/>
        <s v="Donor_0474"/>
        <s v="Donor_0475"/>
        <s v="Donor_0476"/>
        <s v="Donor_0477"/>
        <s v="Donor_0478"/>
        <s v="Donor_0479"/>
        <s v="Donor_0480"/>
        <s v="Donor_0481"/>
        <s v="Donor_0482"/>
        <s v="Donor_0483"/>
        <s v="Donor_0484"/>
        <s v="Donor_0485"/>
        <s v="Donor_0486"/>
        <s v="Donor_0487"/>
        <s v="Donor_0488"/>
        <s v="Donor_0489"/>
        <s v="Donor_0490"/>
        <s v="Donor_0491"/>
        <s v="Donor_0492"/>
        <s v="Donor_0493"/>
        <s v="Donor_0494"/>
        <s v="Donor_0495"/>
        <s v="Donor_0496"/>
        <s v="Donor_0497"/>
        <s v="Donor_0498"/>
        <s v="Donor_0499"/>
        <s v="Donor_0500"/>
        <s v="Donor_0501"/>
        <s v="Donor_0502"/>
        <s v="Donor_0503"/>
        <s v="Donor_0504"/>
        <s v="Donor_0505"/>
        <s v="Donor_0506"/>
        <s v="Donor_0507"/>
        <s v="Donor_0508"/>
        <s v="Donor_0509"/>
        <s v="Donor_0510"/>
        <s v="Donor_0511"/>
        <s v="Donor_0512"/>
        <s v="Donor_0513"/>
        <s v="Donor_0514"/>
        <s v="Donor_0515"/>
        <s v="Donor_0516"/>
        <s v="Donor_0517"/>
        <s v="Donor_0518"/>
        <s v="Donor_0519"/>
        <s v="Donor_0520"/>
        <s v="Donor_0521"/>
        <s v="Donor_0522"/>
        <s v="Donor_0523"/>
        <s v="Donor_0524"/>
        <s v="Donor_0525"/>
        <s v="Donor_0526"/>
        <s v="Donor_0527"/>
        <s v="Donor_0528"/>
        <s v="Donor_0529"/>
        <s v="Donor_0530"/>
        <s v="Donor_0531"/>
        <s v="Donor_0532"/>
        <s v="Donor_0533"/>
        <s v="Donor_0534"/>
        <s v="Donor_0535"/>
        <s v="Donor_0536"/>
        <s v="Donor_0537"/>
        <s v="Donor_0538"/>
        <s v="Donor_0539"/>
        <s v="Donor_0540"/>
        <s v="Donor_0541"/>
        <s v="Donor_0542"/>
        <s v="Donor_0543"/>
        <s v="Donor_0544"/>
        <s v="Donor_0545"/>
        <s v="Donor_0546"/>
        <s v="Donor_0547"/>
        <s v="Donor_0548"/>
        <s v="Donor_0549"/>
        <s v="Donor_0550"/>
        <s v="Donor_0551"/>
        <s v="Donor_0552"/>
        <s v="Donor_0553"/>
        <s v="Donor_0554"/>
        <s v="Donor_0555"/>
        <s v="Donor_0556"/>
        <s v="Donor_0557"/>
        <s v="Donor_0558"/>
        <s v="Donor_0559"/>
        <s v="Donor_0560"/>
        <s v="Donor_0561"/>
        <s v="Donor_0562"/>
        <s v="Donor_0563"/>
        <s v="Donor_0564"/>
        <s v="Donor_0565"/>
        <s v="Donor_0566"/>
        <s v="Donor_0567"/>
        <s v="Donor_0568"/>
        <s v="Donor_0569"/>
        <s v="Donor_0570"/>
        <s v="Donor_0571"/>
        <s v="Donor_0572"/>
        <s v="Donor_0573"/>
        <s v="Donor_0574"/>
        <s v="Donor_0575"/>
        <s v="Donor_0576"/>
        <s v="Donor_0577"/>
        <s v="Donor_0578"/>
        <s v="Donor_0579"/>
        <s v="Donor_0580"/>
        <s v="Donor_0581"/>
        <s v="Donor_0582"/>
        <s v="Donor_0583"/>
        <s v="Donor_0584"/>
        <s v="Donor_0585"/>
        <s v="Donor_0586"/>
        <s v="Donor_0587"/>
        <s v="Donor_0588"/>
        <s v="Donor_0589"/>
        <s v="Donor_0590"/>
        <s v="Donor_0591"/>
        <s v="Donor_0592"/>
        <s v="Donor_0593"/>
        <s v="Donor_0594"/>
        <s v="Donor_0595"/>
        <s v="Donor_0596"/>
        <s v="Donor_0597"/>
        <s v="Donor_0598"/>
        <s v="Donor_0599"/>
        <s v="Donor_0600"/>
        <s v="Donor_0601"/>
        <s v="Donor_0602"/>
        <s v="Donor_0603"/>
        <s v="Donor_0604"/>
        <s v="Donor_0605"/>
        <s v="Donor_0606"/>
        <s v="Donor_0607"/>
        <s v="Donor_0608"/>
        <s v="Donor_0609"/>
        <s v="Donor_0610"/>
        <s v="Donor_0611"/>
        <s v="Donor_0612"/>
        <s v="Donor_0613"/>
        <s v="Donor_0614"/>
        <s v="Donor_0615"/>
        <s v="Donor_0616"/>
        <s v="Donor_0617"/>
        <s v="Donor_0618"/>
        <s v="Donor_0619"/>
        <s v="Donor_0620"/>
        <s v="Donor_0621"/>
        <s v="Donor_0622"/>
        <s v="Donor_0623"/>
        <s v="Donor_0624"/>
        <s v="Donor_0625"/>
        <s v="Donor_0626"/>
        <s v="Donor_0627"/>
        <s v="Donor_0628"/>
        <s v="Donor_0629"/>
        <s v="Donor_0630"/>
        <s v="Donor_0631"/>
        <s v="Donor_0632"/>
        <s v="Donor_0633"/>
        <s v="Donor_0634"/>
        <s v="Donor_0635"/>
        <s v="Donor_0636"/>
        <s v="Donor_0637"/>
        <s v="Donor_0638"/>
        <s v="Donor_0639"/>
        <s v="Donor_0640"/>
        <s v="Donor_0641"/>
        <s v="Donor_0642"/>
        <s v="Donor_0643"/>
        <s v="Donor_0644"/>
        <s v="Donor_0645"/>
        <s v="Donor_0646"/>
        <s v="Donor_0647"/>
        <s v="Donor_0648"/>
        <s v="Donor_0649"/>
        <s v="Donor_0650"/>
        <s v="Donor_0651"/>
        <s v="Donor_0652"/>
        <s v="Donor_0653"/>
        <s v="Donor_0654"/>
        <s v="Donor_0655"/>
        <s v="Donor_0656"/>
        <s v="Donor_0657"/>
        <s v="Donor_0658"/>
        <s v="Donor_0659"/>
        <s v="Donor_0660"/>
        <s v="Donor_0661"/>
        <s v="Donor_0662"/>
        <s v="Donor_0663"/>
        <s v="Donor_0664"/>
        <s v="Donor_0665"/>
        <s v="Donor_0666"/>
        <s v="Donor_0667"/>
        <s v="Donor_0668"/>
        <s v="Donor_0669"/>
        <s v="Donor_0670"/>
        <s v="Donor_0671"/>
        <s v="Donor_0672"/>
        <s v="Donor_0673"/>
        <s v="Donor_0674"/>
        <s v="Donor_0675"/>
        <s v="Donor_0676"/>
        <s v="Donor_0677"/>
        <s v="Donor_0678"/>
        <s v="Donor_0679"/>
        <s v="Donor_0680"/>
        <s v="Donor_0681"/>
        <s v="Donor_0682"/>
        <s v="Donor_0683"/>
        <s v="Donor_0684"/>
        <s v="Donor_0685"/>
        <s v="Donor_0686"/>
        <s v="Donor_0687"/>
        <s v="Donor_0688"/>
        <s v="Donor_0689"/>
        <s v="Donor_0690"/>
        <s v="Donor_0691"/>
        <s v="Donor_0692"/>
        <s v="Donor_0693"/>
        <s v="Donor_0694"/>
        <s v="Donor_0695"/>
        <s v="Donor_0696"/>
        <s v="Donor_0697"/>
        <s v="Donor_0698"/>
        <s v="Donor_0699"/>
        <s v="Donor_0700"/>
        <s v="Donor_0701"/>
        <s v="Donor_0702"/>
        <s v="Donor_0703"/>
        <s v="Donor_0704"/>
        <s v="Donor_0705"/>
        <s v="Donor_0706"/>
        <s v="Donor_0707"/>
        <s v="Donor_0708"/>
        <s v="Donor_0709"/>
        <s v="Donor_0710"/>
        <s v="Donor_0711"/>
        <s v="Donor_0712"/>
        <s v="Donor_0713"/>
        <s v="Donor_0714"/>
        <s v="Donor_0715"/>
        <s v="Donor_0716"/>
        <s v="Donor_0717"/>
        <s v="Donor_0718"/>
        <s v="Donor_0719"/>
        <s v="Donor_0720"/>
        <s v="Donor_0721"/>
        <s v="Donor_0722"/>
        <s v="Donor_0723"/>
        <s v="Donor_0724"/>
        <s v="Donor_0725"/>
        <s v="Donor_0726"/>
        <s v="Donor_0727"/>
        <s v="Donor_0728"/>
        <s v="Donor_0729"/>
        <s v="Donor_0730"/>
        <s v="Donor_0731"/>
        <s v="Donor_0732"/>
        <s v="Donor_0733"/>
        <s v="Donor_0734"/>
        <s v="Donor_0735"/>
        <s v="Donor_0736"/>
        <s v="Donor_0737"/>
        <s v="Donor_0738"/>
        <s v="Donor_0739"/>
        <s v="Donor_0740"/>
        <s v="Donor_0741"/>
        <s v="Donor_0742"/>
        <s v="Donor_0743"/>
        <s v="Donor_0744"/>
        <s v="Donor_0745"/>
        <s v="Donor_0746"/>
        <s v="Donor_0747"/>
        <s v="Donor_0748"/>
        <s v="Donor_0749"/>
        <s v="Donor_0750"/>
        <s v="Donor_0751"/>
        <s v="Donor_0752"/>
        <s v="Donor_0753"/>
        <s v="Donor_0754"/>
        <s v="Donor_0755"/>
        <s v="Donor_0756"/>
        <s v="Donor_0757"/>
        <s v="Donor_0758"/>
        <s v="Donor_0759"/>
        <s v="Donor_0760"/>
        <s v="Donor_0761"/>
        <s v="Donor_0762"/>
        <s v="Donor_0763"/>
        <s v="Donor_0764"/>
        <s v="Donor_0765"/>
        <s v="Donor_0766"/>
        <s v="Donor_0767"/>
        <s v="Donor_0768"/>
        <s v="Donor_0769"/>
        <s v="Donor_0770"/>
        <s v="Donor_0771"/>
        <s v="Donor_0772"/>
        <s v="Donor_0773"/>
        <s v="Donor_0774"/>
        <s v="Donor_0775"/>
        <s v="Donor_0776"/>
        <s v="Donor_0777"/>
        <s v="Donor_0778"/>
        <s v="Donor_0779"/>
        <s v="Donor_0780"/>
        <s v="Donor_0781"/>
        <s v="Donor_0782"/>
        <s v="Donor_0783"/>
        <s v="Donor_0784"/>
        <s v="Donor_0785"/>
        <s v="Donor_0786"/>
        <s v="Donor_0787"/>
        <s v="Donor_0788"/>
        <s v="Donor_0789"/>
        <s v="Donor_0790"/>
        <s v="Donor_0791"/>
        <s v="Donor_0792"/>
        <s v="Donor_0793"/>
        <s v="Donor_0794"/>
        <s v="Donor_0795"/>
        <s v="Donor_0796"/>
        <s v="Donor_0797"/>
        <s v="Donor_0798"/>
        <s v="Donor_0799"/>
        <s v="Donor_0800"/>
        <s v="Donor_0801"/>
        <s v="Donor_0802"/>
        <s v="Donor_0803"/>
        <s v="Donor_0804"/>
        <s v="Donor_0805"/>
        <s v="Donor_0806"/>
        <s v="Donor_0807"/>
        <s v="Donor_0808"/>
        <s v="Donor_0809"/>
        <s v="Donor_0810"/>
        <s v="Donor_0811"/>
        <s v="Donor_0812"/>
        <s v="Donor_0813"/>
        <s v="Donor_0814"/>
        <s v="Donor_0815"/>
        <s v="Donor_0816"/>
        <s v="Donor_0817"/>
        <s v="Donor_0818"/>
        <s v="Donor_0819"/>
        <s v="Donor_0820"/>
        <s v="Donor_0821"/>
        <s v="Donor_0822"/>
        <s v="Donor_0823"/>
        <s v="Donor_0824"/>
        <s v="Donor_0825"/>
        <s v="Donor_0826"/>
        <s v="Donor_0827"/>
        <s v="Donor_0828"/>
        <s v="Donor_0829"/>
        <s v="Donor_0830"/>
        <s v="Donor_0831"/>
        <s v="Donor_0832"/>
        <s v="Donor_0833"/>
        <s v="Donor_0834"/>
        <s v="Donor_0835"/>
        <s v="Donor_0836"/>
        <s v="Donor_0837"/>
        <s v="Donor_0838"/>
        <s v="Donor_0839"/>
        <s v="Donor_0840"/>
        <s v="Donor_0841"/>
        <s v="Donor_0842"/>
        <s v="Donor_0843"/>
        <s v="Donor_0844"/>
        <s v="Donor_0845"/>
        <s v="Donor_0846"/>
        <s v="Donor_0847"/>
        <s v="Donor_0848"/>
        <s v="Donor_0849"/>
        <s v="Donor_0850"/>
        <s v="Donor_0851"/>
        <s v="Donor_0852"/>
        <s v="Donor_0853"/>
        <s v="Donor_0854"/>
        <s v="Donor_0855"/>
        <s v="Donor_0856"/>
        <s v="Donor_0857"/>
        <s v="Donor_0858"/>
        <s v="Donor_0859"/>
        <s v="Donor_0860"/>
        <s v="Donor_0861"/>
        <s v="Donor_0862"/>
        <s v="Donor_0863"/>
        <s v="Donor_0864"/>
        <s v="Donor_0865"/>
        <s v="Donor_0866"/>
        <s v="Donor_0867"/>
        <s v="Donor_0868"/>
        <s v="Donor_0869"/>
        <s v="Donor_0870"/>
        <s v="Donor_0871"/>
        <s v="Donor_0872"/>
        <s v="Donor_0873"/>
        <s v="Donor_0874"/>
        <s v="Donor_0875"/>
        <s v="Donor_0876"/>
        <s v="Donor_0877"/>
        <s v="Donor_0878"/>
        <s v="Donor_0879"/>
        <s v="Donor_0880"/>
        <s v="Donor_0881"/>
        <s v="Donor_0882"/>
        <s v="Donor_0883"/>
        <s v="Donor_0884"/>
        <s v="Donor_0885"/>
        <s v="Donor_0886"/>
        <s v="Donor_0887"/>
        <s v="Donor_0888"/>
        <s v="Donor_0889"/>
        <s v="Donor_0890"/>
        <s v="Donor_0891"/>
        <s v="Donor_0892"/>
        <s v="Donor_0893"/>
        <s v="Donor_0894"/>
        <s v="Donor_0895"/>
        <s v="Donor_0896"/>
        <s v="Donor_0897"/>
        <s v="Donor_0898"/>
        <s v="Donor_0899"/>
        <s v="Donor_0900"/>
        <s v="Donor_0901"/>
        <s v="Donor_0902"/>
        <s v="Donor_0903"/>
        <s v="Donor_0904"/>
        <s v="Donor_0905"/>
        <s v="Donor_0906"/>
        <s v="Donor_0907"/>
        <s v="Donor_0908"/>
        <s v="Donor_0909"/>
        <s v="Donor_0910"/>
        <s v="Donor_0911"/>
        <s v="Donor_0912"/>
        <s v="Donor_0913"/>
        <s v="Donor_0914"/>
        <s v="Donor_0915"/>
        <s v="Donor_0916"/>
        <s v="Donor_0917"/>
        <s v="Donor_0918"/>
        <s v="Donor_0919"/>
        <s v="Donor_0920"/>
        <s v="Donor_0921"/>
        <s v="Donor_0922"/>
        <s v="Donor_0923"/>
        <s v="Donor_0924"/>
        <s v="Donor_0925"/>
        <s v="Donor_0926"/>
        <s v="Donor_0927"/>
        <s v="Donor_0928"/>
        <s v="Donor_0929"/>
        <s v="Donor_0930"/>
        <s v="Donor_0931"/>
        <s v="Donor_0932"/>
        <s v="Donor_0933"/>
        <s v="Donor_0934"/>
        <s v="Donor_0935"/>
        <s v="Donor_0936"/>
        <s v="Donor_0937"/>
        <s v="Donor_0938"/>
        <s v="Donor_0939"/>
        <s v="Donor_0940"/>
        <s v="Donor_0941"/>
        <s v="Donor_0942"/>
        <s v="Donor_0943"/>
        <s v="Donor_0944"/>
        <s v="Donor_0945"/>
        <s v="Donor_0946"/>
        <s v="Donor_0947"/>
        <s v="Donor_0948"/>
        <s v="Donor_0949"/>
        <s v="Donor_0950"/>
        <s v="Donor_0951"/>
        <s v="Donor_0952"/>
        <s v="Donor_0953"/>
        <s v="Donor_0954"/>
        <s v="Donor_0955"/>
        <s v="Donor_0956"/>
        <s v="Donor_0957"/>
        <s v="Donor_0958"/>
        <s v="Donor_0959"/>
        <s v="Donor_0960"/>
        <s v="Donor_0961"/>
        <s v="Donor_0962"/>
        <s v="Donor_0963"/>
        <s v="Donor_0964"/>
        <s v="Donor_0965"/>
        <s v="Donor_0966"/>
        <s v="Donor_0967"/>
        <s v="Donor_0968"/>
        <s v="Donor_0969"/>
        <s v="Donor_0970"/>
        <s v="Donor_0971"/>
        <s v="Donor_0972"/>
        <s v="Donor_0973"/>
        <s v="Donor_0974"/>
        <s v="Donor_0975"/>
        <s v="Donor_0976"/>
        <s v="Donor_0977"/>
        <s v="Donor_0978"/>
        <s v="Donor_0979"/>
        <s v="Donor_0980"/>
        <s v="Donor_0981"/>
        <s v="Donor_0982"/>
        <s v="Donor_0983"/>
        <s v="Donor_0984"/>
        <s v="Donor_0985"/>
        <s v="Donor_0986"/>
        <s v="Donor_0987"/>
        <s v="Donor_0988"/>
        <s v="Donor_0989"/>
        <s v="Donor_0990"/>
        <s v="Donor_0991"/>
        <s v="Donor_0992"/>
        <s v="Donor_0993"/>
        <s v="Donor_0994"/>
        <s v="Donor_0995"/>
        <s v="Donor_0996"/>
        <s v="Donor_0997"/>
        <s v="Donor_0998"/>
        <s v="Donor_0999"/>
        <s v="Donor_1000"/>
      </sharedItems>
    </cacheField>
    <cacheField name="age" numFmtId="0">
      <sharedItems containsSemiMixedTypes="0" containsString="0" containsNumber="1" containsInteger="1" minValue="21" maxValue="65"/>
    </cacheField>
    <cacheField name="city" numFmtId="0">
      <sharedItems count="8">
        <s v="Mumbai"/>
        <s v="Lucknow"/>
        <s v="Jaipur"/>
        <s v="Pune"/>
        <s v="Hyderabad"/>
        <s v="Bangalore"/>
        <s v="Chandigarh"/>
        <s v="Delhi"/>
      </sharedItems>
    </cacheField>
    <cacheField name="income_bracket" numFmtId="0">
      <sharedItems count="4">
        <s v="&lt;2L"/>
        <s v="2-5L"/>
        <s v="5-10L"/>
        <s v="10L+"/>
      </sharedItems>
    </cacheField>
    <cacheField name="channel" numFmtId="0">
      <sharedItems count="4">
        <s v="Events"/>
        <s v="Social Media"/>
        <s v="Referral"/>
        <s v="Email"/>
      </sharedItems>
    </cacheField>
    <cacheField name="cause_supported" numFmtId="0">
      <sharedItems count="3">
        <s v="Education"/>
        <s v="Environment"/>
        <s v="Healthcare"/>
      </sharedItems>
    </cacheField>
    <cacheField name="num_donations" numFmtId="0">
      <sharedItems containsSemiMixedTypes="0" containsString="0" containsNumber="1" containsInteger="1" minValue="1" maxValue="10"/>
    </cacheField>
    <cacheField name="total_donated_inr" numFmtId="0">
      <sharedItems containsSemiMixedTypes="0" containsString="0" containsNumber="1" containsInteger="1" minValue="500" maxValue="247000"/>
    </cacheField>
    <cacheField name="first_donation_date" numFmtId="14">
      <sharedItems containsSemiMixedTypes="0" containsNonDate="0" containsDate="1" containsString="0" minDate="2022-01-01T00:00:00" maxDate="2023-08-25T00:00:00"/>
    </cacheField>
    <cacheField name="last_donation_date" numFmtId="14">
      <sharedItems containsSemiMixedTypes="0" containsNonDate="0" containsDate="1" containsString="0" minDate="2022-02-09T00:00:00" maxDate="2024-12-31T00:00:00"/>
    </cacheField>
    <cacheField name="channel_cost_inr" numFmtId="0">
      <sharedItems containsSemiMixedTypes="0" containsString="0" containsNumber="1" containsInteger="1" minValue="12" maxValue="6270"/>
    </cacheField>
    <cacheField name="days_since_last_donation" numFmtId="0">
      <sharedItems containsSemiMixedTypes="0" containsString="0" containsNumber="1" containsInteger="1" minValue="-212" maxValue="843"/>
    </cacheField>
    <cacheField name="status" numFmtId="0">
      <sharedItems count="2">
        <s v="Lapsed"/>
        <s v="Active"/>
      </sharedItems>
    </cacheField>
    <cacheField name="donor_lifetime_days" numFmtId="0">
      <sharedItems containsSemiMixedTypes="0" containsString="0" containsNumber="1" containsInteger="1" minValue="0" maxValue="499"/>
    </cacheField>
    <cacheField name="cost_per_rupee" numFmtId="0" formula="channel_cost_inr/total_donated_in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35"/>
    <x v="0"/>
    <x v="0"/>
    <x v="0"/>
    <x v="0"/>
    <n v="3"/>
    <n v="2100"/>
    <d v="2023-07-13T00:00:00"/>
    <d v="2023-08-26T00:00:00"/>
    <n v="1881"/>
    <n v="280"/>
    <x v="0"/>
    <n v="44"/>
  </r>
  <r>
    <n v="2"/>
    <x v="1"/>
    <n v="34"/>
    <x v="1"/>
    <x v="0"/>
    <x v="1"/>
    <x v="0"/>
    <n v="4"/>
    <n v="6000"/>
    <d v="2022-01-28T00:00:00"/>
    <d v="2022-11-11T00:00:00"/>
    <n v="488"/>
    <n v="568"/>
    <x v="0"/>
    <n v="287"/>
  </r>
  <r>
    <n v="3"/>
    <x v="2"/>
    <n v="38"/>
    <x v="1"/>
    <x v="1"/>
    <x v="2"/>
    <x v="1"/>
    <n v="1"/>
    <n v="4100"/>
    <d v="2022-06-13T00:00:00"/>
    <d v="2023-06-05T00:00:00"/>
    <n v="37"/>
    <n v="362"/>
    <x v="0"/>
    <n v="357"/>
  </r>
  <r>
    <n v="4"/>
    <x v="3"/>
    <n v="42"/>
    <x v="2"/>
    <x v="2"/>
    <x v="3"/>
    <x v="0"/>
    <n v="2"/>
    <n v="7600"/>
    <d v="2023-01-25T00:00:00"/>
    <d v="2023-03-15T00:00:00"/>
    <n v="104"/>
    <n v="444"/>
    <x v="0"/>
    <n v="49"/>
  </r>
  <r>
    <n v="5"/>
    <x v="4"/>
    <n v="55"/>
    <x v="2"/>
    <x v="2"/>
    <x v="1"/>
    <x v="2"/>
    <n v="2"/>
    <n v="12200"/>
    <d v="2022-03-22T00:00:00"/>
    <d v="2022-12-29T00:00:00"/>
    <n v="256"/>
    <n v="520"/>
    <x v="0"/>
    <n v="282"/>
  </r>
  <r>
    <n v="6"/>
    <x v="5"/>
    <n v="63"/>
    <x v="2"/>
    <x v="1"/>
    <x v="1"/>
    <x v="0"/>
    <n v="4"/>
    <n v="16800"/>
    <d v="2022-10-24T00:00:00"/>
    <d v="2022-12-03T00:00:00"/>
    <n v="496"/>
    <n v="546"/>
    <x v="0"/>
    <n v="40"/>
  </r>
  <r>
    <n v="7"/>
    <x v="6"/>
    <n v="61"/>
    <x v="0"/>
    <x v="3"/>
    <x v="0"/>
    <x v="2"/>
    <n v="6"/>
    <n v="61800"/>
    <d v="2023-01-15T00:00:00"/>
    <d v="2023-07-15T00:00:00"/>
    <n v="3618"/>
    <n v="322"/>
    <x v="0"/>
    <n v="181"/>
  </r>
  <r>
    <n v="8"/>
    <x v="7"/>
    <n v="36"/>
    <x v="3"/>
    <x v="0"/>
    <x v="3"/>
    <x v="1"/>
    <n v="3"/>
    <n v="4200"/>
    <d v="2023-01-24T00:00:00"/>
    <d v="2023-06-11T00:00:00"/>
    <n v="210"/>
    <n v="356"/>
    <x v="0"/>
    <n v="138"/>
  </r>
  <r>
    <n v="9"/>
    <x v="8"/>
    <n v="23"/>
    <x v="4"/>
    <x v="2"/>
    <x v="1"/>
    <x v="0"/>
    <n v="6"/>
    <n v="37800"/>
    <d v="2022-10-02T00:00:00"/>
    <d v="2022-11-04T00:00:00"/>
    <n v="738"/>
    <n v="575"/>
    <x v="0"/>
    <n v="33"/>
  </r>
  <r>
    <n v="10"/>
    <x v="9"/>
    <n v="62"/>
    <x v="2"/>
    <x v="1"/>
    <x v="2"/>
    <x v="2"/>
    <n v="8"/>
    <n v="12800"/>
    <d v="2022-09-29T00:00:00"/>
    <d v="2022-12-09T00:00:00"/>
    <n v="200"/>
    <n v="540"/>
    <x v="0"/>
    <n v="71"/>
  </r>
  <r>
    <n v="11"/>
    <x v="10"/>
    <n v="35"/>
    <x v="3"/>
    <x v="3"/>
    <x v="2"/>
    <x v="0"/>
    <n v="3"/>
    <n v="65100"/>
    <d v="2023-05-21T00:00:00"/>
    <d v="2023-07-06T00:00:00"/>
    <n v="39"/>
    <n v="331"/>
    <x v="0"/>
    <n v="46"/>
  </r>
  <r>
    <n v="12"/>
    <x v="11"/>
    <n v="59"/>
    <x v="0"/>
    <x v="1"/>
    <x v="3"/>
    <x v="2"/>
    <n v="2"/>
    <n v="5200"/>
    <d v="2023-01-26T00:00:00"/>
    <d v="2023-11-27T00:00:00"/>
    <n v="118"/>
    <n v="187"/>
    <x v="0"/>
    <n v="305"/>
  </r>
  <r>
    <n v="13"/>
    <x v="12"/>
    <n v="38"/>
    <x v="3"/>
    <x v="0"/>
    <x v="1"/>
    <x v="1"/>
    <n v="6"/>
    <n v="4200"/>
    <d v="2022-10-28T00:00:00"/>
    <d v="2023-06-07T00:00:00"/>
    <n v="720"/>
    <n v="360"/>
    <x v="0"/>
    <n v="222"/>
  </r>
  <r>
    <n v="14"/>
    <x v="13"/>
    <n v="32"/>
    <x v="5"/>
    <x v="0"/>
    <x v="0"/>
    <x v="1"/>
    <n v="9"/>
    <n v="6300"/>
    <d v="2022-11-02T00:00:00"/>
    <d v="2024-01-06T00:00:00"/>
    <n v="5670"/>
    <n v="147"/>
    <x v="1"/>
    <n v="430"/>
  </r>
  <r>
    <n v="15"/>
    <x v="14"/>
    <n v="55"/>
    <x v="4"/>
    <x v="1"/>
    <x v="0"/>
    <x v="0"/>
    <n v="9"/>
    <n v="43200"/>
    <d v="2022-01-01T00:00:00"/>
    <d v="2022-11-03T00:00:00"/>
    <n v="5490"/>
    <n v="576"/>
    <x v="0"/>
    <n v="306"/>
  </r>
  <r>
    <n v="16"/>
    <x v="15"/>
    <n v="40"/>
    <x v="5"/>
    <x v="0"/>
    <x v="1"/>
    <x v="0"/>
    <n v="4"/>
    <n v="2400"/>
    <d v="2022-09-04T00:00:00"/>
    <d v="2023-11-27T00:00:00"/>
    <n v="584"/>
    <n v="187"/>
    <x v="0"/>
    <n v="449"/>
  </r>
  <r>
    <n v="17"/>
    <x v="16"/>
    <n v="55"/>
    <x v="0"/>
    <x v="0"/>
    <x v="2"/>
    <x v="0"/>
    <n v="3"/>
    <n v="2400"/>
    <d v="2023-05-02T00:00:00"/>
    <d v="2024-08-28T00:00:00"/>
    <n v="135"/>
    <n v="-88"/>
    <x v="1"/>
    <n v="484"/>
  </r>
  <r>
    <n v="18"/>
    <x v="17"/>
    <n v="55"/>
    <x v="6"/>
    <x v="2"/>
    <x v="2"/>
    <x v="0"/>
    <n v="4"/>
    <n v="35200"/>
    <d v="2022-11-16T00:00:00"/>
    <d v="2023-06-08T00:00:00"/>
    <n v="132"/>
    <n v="359"/>
    <x v="0"/>
    <n v="204"/>
  </r>
  <r>
    <n v="19"/>
    <x v="18"/>
    <n v="35"/>
    <x v="5"/>
    <x v="3"/>
    <x v="1"/>
    <x v="0"/>
    <n v="2"/>
    <n v="32200"/>
    <d v="2022-01-22T00:00:00"/>
    <d v="2022-11-19T00:00:00"/>
    <n v="290"/>
    <n v="560"/>
    <x v="0"/>
    <n v="301"/>
  </r>
  <r>
    <n v="20"/>
    <x v="19"/>
    <n v="61"/>
    <x v="4"/>
    <x v="1"/>
    <x v="1"/>
    <x v="0"/>
    <n v="1"/>
    <n v="1900"/>
    <d v="2022-03-11T00:00:00"/>
    <d v="2023-06-17T00:00:00"/>
    <n v="112"/>
    <n v="350"/>
    <x v="0"/>
    <n v="463"/>
  </r>
  <r>
    <n v="21"/>
    <x v="20"/>
    <n v="63"/>
    <x v="2"/>
    <x v="0"/>
    <x v="3"/>
    <x v="0"/>
    <n v="8"/>
    <n v="7200"/>
    <d v="2023-07-07T00:00:00"/>
    <d v="2023-09-12T00:00:00"/>
    <n v="528"/>
    <n v="263"/>
    <x v="0"/>
    <n v="67"/>
  </r>
  <r>
    <n v="22"/>
    <x v="21"/>
    <n v="33"/>
    <x v="5"/>
    <x v="1"/>
    <x v="2"/>
    <x v="2"/>
    <n v="2"/>
    <n v="2800"/>
    <d v="2023-03-18T00:00:00"/>
    <d v="2023-09-15T00:00:00"/>
    <n v="74"/>
    <n v="260"/>
    <x v="0"/>
    <n v="181"/>
  </r>
  <r>
    <n v="23"/>
    <x v="22"/>
    <n v="24"/>
    <x v="1"/>
    <x v="3"/>
    <x v="1"/>
    <x v="0"/>
    <n v="7"/>
    <n v="112700"/>
    <d v="2022-04-22T00:00:00"/>
    <d v="2022-08-27T00:00:00"/>
    <n v="854"/>
    <n v="644"/>
    <x v="0"/>
    <n v="127"/>
  </r>
  <r>
    <n v="24"/>
    <x v="23"/>
    <n v="32"/>
    <x v="4"/>
    <x v="3"/>
    <x v="3"/>
    <x v="2"/>
    <n v="5"/>
    <n v="101000"/>
    <d v="2022-09-13T00:00:00"/>
    <d v="2023-12-04T00:00:00"/>
    <n v="170"/>
    <n v="180"/>
    <x v="1"/>
    <n v="447"/>
  </r>
  <r>
    <n v="25"/>
    <x v="24"/>
    <n v="21"/>
    <x v="5"/>
    <x v="0"/>
    <x v="1"/>
    <x v="1"/>
    <n v="2"/>
    <n v="2000"/>
    <d v="2022-06-20T00:00:00"/>
    <d v="2023-01-14T00:00:00"/>
    <n v="282"/>
    <n v="504"/>
    <x v="0"/>
    <n v="208"/>
  </r>
  <r>
    <n v="26"/>
    <x v="25"/>
    <n v="31"/>
    <x v="5"/>
    <x v="1"/>
    <x v="2"/>
    <x v="0"/>
    <n v="7"/>
    <n v="7000"/>
    <d v="2023-02-04T00:00:00"/>
    <d v="2023-06-19T00:00:00"/>
    <n v="273"/>
    <n v="348"/>
    <x v="0"/>
    <n v="135"/>
  </r>
  <r>
    <n v="27"/>
    <x v="26"/>
    <n v="33"/>
    <x v="3"/>
    <x v="3"/>
    <x v="2"/>
    <x v="0"/>
    <n v="5"/>
    <n v="60500"/>
    <d v="2022-03-01T00:00:00"/>
    <d v="2022-12-22T00:00:00"/>
    <n v="220"/>
    <n v="527"/>
    <x v="0"/>
    <n v="296"/>
  </r>
  <r>
    <n v="28"/>
    <x v="27"/>
    <n v="58"/>
    <x v="7"/>
    <x v="2"/>
    <x v="1"/>
    <x v="0"/>
    <n v="8"/>
    <n v="56800"/>
    <d v="2023-06-28T00:00:00"/>
    <d v="2023-09-16T00:00:00"/>
    <n v="904"/>
    <n v="259"/>
    <x v="0"/>
    <n v="80"/>
  </r>
  <r>
    <n v="29"/>
    <x v="28"/>
    <n v="25"/>
    <x v="0"/>
    <x v="1"/>
    <x v="1"/>
    <x v="1"/>
    <n v="4"/>
    <n v="10800"/>
    <d v="2022-05-03T00:00:00"/>
    <d v="2023-08-28T00:00:00"/>
    <n v="584"/>
    <n v="278"/>
    <x v="0"/>
    <n v="482"/>
  </r>
  <r>
    <n v="30"/>
    <x v="29"/>
    <n v="63"/>
    <x v="4"/>
    <x v="0"/>
    <x v="1"/>
    <x v="2"/>
    <n v="10"/>
    <n v="17000"/>
    <d v="2023-06-20T00:00:00"/>
    <d v="2023-11-28T00:00:00"/>
    <n v="1260"/>
    <n v="186"/>
    <x v="0"/>
    <n v="161"/>
  </r>
  <r>
    <n v="31"/>
    <x v="30"/>
    <n v="46"/>
    <x v="4"/>
    <x v="2"/>
    <x v="3"/>
    <x v="0"/>
    <n v="3"/>
    <n v="25500"/>
    <d v="2022-11-04T00:00:00"/>
    <d v="2023-06-26T00:00:00"/>
    <n v="150"/>
    <n v="341"/>
    <x v="0"/>
    <n v="234"/>
  </r>
  <r>
    <n v="32"/>
    <x v="31"/>
    <n v="57"/>
    <x v="0"/>
    <x v="0"/>
    <x v="2"/>
    <x v="1"/>
    <n v="2"/>
    <n v="1200"/>
    <d v="2023-07-05T00:00:00"/>
    <d v="2023-10-22T00:00:00"/>
    <n v="84"/>
    <n v="223"/>
    <x v="0"/>
    <n v="109"/>
  </r>
  <r>
    <n v="33"/>
    <x v="32"/>
    <n v="36"/>
    <x v="3"/>
    <x v="1"/>
    <x v="0"/>
    <x v="0"/>
    <n v="6"/>
    <n v="13200"/>
    <d v="2022-06-11T00:00:00"/>
    <d v="2023-01-21T00:00:00"/>
    <n v="3744"/>
    <n v="497"/>
    <x v="0"/>
    <n v="224"/>
  </r>
  <r>
    <n v="34"/>
    <x v="33"/>
    <n v="29"/>
    <x v="3"/>
    <x v="0"/>
    <x v="0"/>
    <x v="0"/>
    <n v="5"/>
    <n v="3500"/>
    <d v="2022-04-20T00:00:00"/>
    <d v="2023-05-05T00:00:00"/>
    <n v="3125"/>
    <n v="393"/>
    <x v="0"/>
    <n v="380"/>
  </r>
  <r>
    <n v="35"/>
    <x v="34"/>
    <n v="34"/>
    <x v="6"/>
    <x v="2"/>
    <x v="0"/>
    <x v="1"/>
    <n v="6"/>
    <n v="28200"/>
    <d v="2022-09-28T00:00:00"/>
    <d v="2023-06-13T00:00:00"/>
    <n v="3726"/>
    <n v="354"/>
    <x v="0"/>
    <n v="258"/>
  </r>
  <r>
    <n v="36"/>
    <x v="35"/>
    <n v="38"/>
    <x v="3"/>
    <x v="0"/>
    <x v="1"/>
    <x v="2"/>
    <n v="1"/>
    <n v="500"/>
    <d v="2022-12-08T00:00:00"/>
    <d v="2024-01-06T00:00:00"/>
    <n v="118"/>
    <n v="147"/>
    <x v="1"/>
    <n v="394"/>
  </r>
  <r>
    <n v="37"/>
    <x v="36"/>
    <n v="48"/>
    <x v="3"/>
    <x v="1"/>
    <x v="2"/>
    <x v="1"/>
    <n v="9"/>
    <n v="9000"/>
    <d v="2022-04-25T00:00:00"/>
    <d v="2022-06-02T00:00:00"/>
    <n v="171"/>
    <n v="730"/>
    <x v="0"/>
    <n v="38"/>
  </r>
  <r>
    <n v="38"/>
    <x v="37"/>
    <n v="29"/>
    <x v="7"/>
    <x v="2"/>
    <x v="3"/>
    <x v="2"/>
    <n v="1"/>
    <n v="5500"/>
    <d v="2023-01-09T00:00:00"/>
    <d v="2024-04-13T00:00:00"/>
    <n v="32"/>
    <n v="49"/>
    <x v="1"/>
    <n v="460"/>
  </r>
  <r>
    <n v="39"/>
    <x v="38"/>
    <n v="43"/>
    <x v="2"/>
    <x v="1"/>
    <x v="3"/>
    <x v="0"/>
    <n v="9"/>
    <n v="41400"/>
    <d v="2023-02-21T00:00:00"/>
    <d v="2024-07-03T00:00:00"/>
    <n v="621"/>
    <n v="-32"/>
    <x v="1"/>
    <n v="498"/>
  </r>
  <r>
    <n v="40"/>
    <x v="39"/>
    <n v="47"/>
    <x v="6"/>
    <x v="1"/>
    <x v="3"/>
    <x v="0"/>
    <n v="1"/>
    <n v="1700"/>
    <d v="2022-12-07T00:00:00"/>
    <d v="2024-01-11T00:00:00"/>
    <n v="56"/>
    <n v="142"/>
    <x v="1"/>
    <n v="400"/>
  </r>
  <r>
    <n v="41"/>
    <x v="40"/>
    <n v="45"/>
    <x v="4"/>
    <x v="2"/>
    <x v="3"/>
    <x v="0"/>
    <n v="1"/>
    <n v="6900"/>
    <d v="2022-08-16T00:00:00"/>
    <d v="2022-11-26T00:00:00"/>
    <n v="59"/>
    <n v="553"/>
    <x v="0"/>
    <n v="102"/>
  </r>
  <r>
    <n v="42"/>
    <x v="41"/>
    <n v="22"/>
    <x v="2"/>
    <x v="2"/>
    <x v="3"/>
    <x v="0"/>
    <n v="4"/>
    <n v="25200"/>
    <d v="2022-12-03T00:00:00"/>
    <d v="2023-04-24T00:00:00"/>
    <n v="136"/>
    <n v="404"/>
    <x v="0"/>
    <n v="142"/>
  </r>
  <r>
    <n v="43"/>
    <x v="42"/>
    <n v="42"/>
    <x v="3"/>
    <x v="2"/>
    <x v="2"/>
    <x v="1"/>
    <n v="1"/>
    <n v="3900"/>
    <d v="2022-09-25T00:00:00"/>
    <d v="2022-12-25T00:00:00"/>
    <n v="47"/>
    <n v="524"/>
    <x v="0"/>
    <n v="91"/>
  </r>
  <r>
    <n v="44"/>
    <x v="43"/>
    <n v="48"/>
    <x v="3"/>
    <x v="0"/>
    <x v="1"/>
    <x v="1"/>
    <n v="6"/>
    <n v="12000"/>
    <d v="2022-11-18T00:00:00"/>
    <d v="2023-06-29T00:00:00"/>
    <n v="888"/>
    <n v="338"/>
    <x v="0"/>
    <n v="223"/>
  </r>
  <r>
    <n v="45"/>
    <x v="44"/>
    <n v="23"/>
    <x v="0"/>
    <x v="3"/>
    <x v="3"/>
    <x v="0"/>
    <n v="7"/>
    <n v="35700"/>
    <d v="2023-06-17T00:00:00"/>
    <d v="2024-10-02T00:00:00"/>
    <n v="448"/>
    <n v="-123"/>
    <x v="1"/>
    <n v="473"/>
  </r>
  <r>
    <n v="46"/>
    <x v="45"/>
    <n v="63"/>
    <x v="4"/>
    <x v="2"/>
    <x v="2"/>
    <x v="0"/>
    <n v="6"/>
    <n v="48600"/>
    <d v="2022-11-18T00:00:00"/>
    <d v="2023-10-23T00:00:00"/>
    <n v="102"/>
    <n v="222"/>
    <x v="0"/>
    <n v="339"/>
  </r>
  <r>
    <n v="47"/>
    <x v="46"/>
    <n v="46"/>
    <x v="3"/>
    <x v="2"/>
    <x v="2"/>
    <x v="0"/>
    <n v="5"/>
    <n v="37500"/>
    <d v="2022-05-11T00:00:00"/>
    <d v="2022-08-17T00:00:00"/>
    <n v="180"/>
    <n v="654"/>
    <x v="0"/>
    <n v="98"/>
  </r>
  <r>
    <n v="48"/>
    <x v="47"/>
    <n v="56"/>
    <x v="1"/>
    <x v="1"/>
    <x v="0"/>
    <x v="2"/>
    <n v="1"/>
    <n v="2200"/>
    <d v="2022-10-21T00:00:00"/>
    <d v="2023-02-05T00:00:00"/>
    <n v="617"/>
    <n v="482"/>
    <x v="0"/>
    <n v="107"/>
  </r>
  <r>
    <n v="49"/>
    <x v="48"/>
    <n v="64"/>
    <x v="2"/>
    <x v="3"/>
    <x v="2"/>
    <x v="2"/>
    <n v="4"/>
    <n v="87200"/>
    <d v="2023-04-30T00:00:00"/>
    <d v="2024-06-09T00:00:00"/>
    <n v="80"/>
    <n v="-8"/>
    <x v="1"/>
    <n v="406"/>
  </r>
  <r>
    <n v="50"/>
    <x v="49"/>
    <n v="36"/>
    <x v="0"/>
    <x v="2"/>
    <x v="0"/>
    <x v="0"/>
    <n v="5"/>
    <n v="24000"/>
    <d v="2022-07-23T00:00:00"/>
    <d v="2022-10-06T00:00:00"/>
    <n v="2955"/>
    <n v="604"/>
    <x v="0"/>
    <n v="75"/>
  </r>
  <r>
    <n v="51"/>
    <x v="50"/>
    <n v="25"/>
    <x v="7"/>
    <x v="1"/>
    <x v="2"/>
    <x v="1"/>
    <n v="8"/>
    <n v="21600"/>
    <d v="2023-08-13T00:00:00"/>
    <d v="2023-11-20T00:00:00"/>
    <n v="272"/>
    <n v="194"/>
    <x v="0"/>
    <n v="99"/>
  </r>
  <r>
    <n v="52"/>
    <x v="51"/>
    <n v="62"/>
    <x v="5"/>
    <x v="3"/>
    <x v="3"/>
    <x v="0"/>
    <n v="1"/>
    <n v="8500"/>
    <d v="2023-03-12T00:00:00"/>
    <d v="2023-07-02T00:00:00"/>
    <n v="41"/>
    <n v="335"/>
    <x v="0"/>
    <n v="112"/>
  </r>
  <r>
    <n v="53"/>
    <x v="52"/>
    <n v="50"/>
    <x v="5"/>
    <x v="0"/>
    <x v="3"/>
    <x v="0"/>
    <n v="3"/>
    <n v="4500"/>
    <d v="2023-06-28T00:00:00"/>
    <d v="2024-04-09T00:00:00"/>
    <n v="204"/>
    <n v="53"/>
    <x v="1"/>
    <n v="286"/>
  </r>
  <r>
    <n v="54"/>
    <x v="53"/>
    <n v="49"/>
    <x v="2"/>
    <x v="3"/>
    <x v="2"/>
    <x v="1"/>
    <n v="3"/>
    <n v="61800"/>
    <d v="2023-04-06T00:00:00"/>
    <d v="2023-08-16T00:00:00"/>
    <n v="75"/>
    <n v="290"/>
    <x v="0"/>
    <n v="132"/>
  </r>
  <r>
    <n v="55"/>
    <x v="54"/>
    <n v="49"/>
    <x v="3"/>
    <x v="3"/>
    <x v="3"/>
    <x v="0"/>
    <n v="2"/>
    <n v="28800"/>
    <d v="2022-08-29T00:00:00"/>
    <d v="2023-01-15T00:00:00"/>
    <n v="102"/>
    <n v="503"/>
    <x v="0"/>
    <n v="139"/>
  </r>
  <r>
    <n v="56"/>
    <x v="55"/>
    <n v="35"/>
    <x v="2"/>
    <x v="0"/>
    <x v="3"/>
    <x v="0"/>
    <n v="7"/>
    <n v="13300"/>
    <d v="2022-06-06T00:00:00"/>
    <d v="2023-06-02T00:00:00"/>
    <n v="301"/>
    <n v="365"/>
    <x v="0"/>
    <n v="361"/>
  </r>
  <r>
    <n v="57"/>
    <x v="56"/>
    <n v="55"/>
    <x v="0"/>
    <x v="3"/>
    <x v="2"/>
    <x v="0"/>
    <n v="8"/>
    <n v="148800"/>
    <d v="2022-03-05T00:00:00"/>
    <d v="2022-06-18T00:00:00"/>
    <n v="288"/>
    <n v="714"/>
    <x v="0"/>
    <n v="105"/>
  </r>
  <r>
    <n v="58"/>
    <x v="57"/>
    <n v="21"/>
    <x v="1"/>
    <x v="0"/>
    <x v="2"/>
    <x v="2"/>
    <n v="6"/>
    <n v="6600"/>
    <d v="2023-02-04T00:00:00"/>
    <d v="2024-04-15T00:00:00"/>
    <n v="216"/>
    <n v="47"/>
    <x v="1"/>
    <n v="436"/>
  </r>
  <r>
    <n v="59"/>
    <x v="58"/>
    <n v="48"/>
    <x v="4"/>
    <x v="3"/>
    <x v="3"/>
    <x v="0"/>
    <n v="8"/>
    <n v="48000"/>
    <d v="2023-02-03T00:00:00"/>
    <d v="2023-07-25T00:00:00"/>
    <n v="440"/>
    <n v="312"/>
    <x v="0"/>
    <n v="172"/>
  </r>
  <r>
    <n v="60"/>
    <x v="59"/>
    <n v="55"/>
    <x v="6"/>
    <x v="3"/>
    <x v="3"/>
    <x v="1"/>
    <n v="1"/>
    <n v="17900"/>
    <d v="2023-08-01T00:00:00"/>
    <d v="2024-07-05T00:00:00"/>
    <n v="31"/>
    <n v="-34"/>
    <x v="1"/>
    <n v="339"/>
  </r>
  <r>
    <n v="61"/>
    <x v="60"/>
    <n v="32"/>
    <x v="0"/>
    <x v="3"/>
    <x v="3"/>
    <x v="2"/>
    <n v="1"/>
    <n v="13500"/>
    <d v="2023-01-24T00:00:00"/>
    <d v="2023-07-10T00:00:00"/>
    <n v="43"/>
    <n v="327"/>
    <x v="0"/>
    <n v="167"/>
  </r>
  <r>
    <n v="62"/>
    <x v="61"/>
    <n v="38"/>
    <x v="5"/>
    <x v="2"/>
    <x v="0"/>
    <x v="2"/>
    <n v="7"/>
    <n v="35700"/>
    <d v="2022-03-25T00:00:00"/>
    <d v="2022-11-20T00:00:00"/>
    <n v="4137"/>
    <n v="559"/>
    <x v="0"/>
    <n v="240"/>
  </r>
  <r>
    <n v="63"/>
    <x v="62"/>
    <n v="62"/>
    <x v="7"/>
    <x v="2"/>
    <x v="3"/>
    <x v="0"/>
    <n v="1"/>
    <n v="9200"/>
    <d v="2022-02-01T00:00:00"/>
    <d v="2023-06-02T00:00:00"/>
    <n v="45"/>
    <n v="365"/>
    <x v="0"/>
    <n v="486"/>
  </r>
  <r>
    <n v="64"/>
    <x v="63"/>
    <n v="29"/>
    <x v="4"/>
    <x v="0"/>
    <x v="3"/>
    <x v="0"/>
    <n v="8"/>
    <n v="15200"/>
    <d v="2022-04-28T00:00:00"/>
    <d v="2023-02-10T00:00:00"/>
    <n v="344"/>
    <n v="477"/>
    <x v="0"/>
    <n v="288"/>
  </r>
  <r>
    <n v="65"/>
    <x v="64"/>
    <n v="59"/>
    <x v="5"/>
    <x v="2"/>
    <x v="0"/>
    <x v="0"/>
    <n v="10"/>
    <n v="91000"/>
    <d v="2022-04-28T00:00:00"/>
    <d v="2023-05-31T00:00:00"/>
    <n v="6000"/>
    <n v="367"/>
    <x v="0"/>
    <n v="398"/>
  </r>
  <r>
    <n v="66"/>
    <x v="65"/>
    <n v="57"/>
    <x v="3"/>
    <x v="0"/>
    <x v="1"/>
    <x v="0"/>
    <n v="7"/>
    <n v="9100"/>
    <d v="2022-07-23T00:00:00"/>
    <d v="2022-08-30T00:00:00"/>
    <n v="1029"/>
    <n v="641"/>
    <x v="0"/>
    <n v="38"/>
  </r>
  <r>
    <n v="67"/>
    <x v="66"/>
    <n v="28"/>
    <x v="4"/>
    <x v="0"/>
    <x v="0"/>
    <x v="1"/>
    <n v="10"/>
    <n v="6000"/>
    <d v="2022-12-22T00:00:00"/>
    <d v="2023-09-20T00:00:00"/>
    <n v="6170"/>
    <n v="255"/>
    <x v="0"/>
    <n v="272"/>
  </r>
  <r>
    <n v="68"/>
    <x v="67"/>
    <n v="47"/>
    <x v="2"/>
    <x v="0"/>
    <x v="0"/>
    <x v="0"/>
    <n v="8"/>
    <n v="5600"/>
    <d v="2023-03-20T00:00:00"/>
    <d v="2024-07-23T00:00:00"/>
    <n v="4904"/>
    <n v="-52"/>
    <x v="1"/>
    <n v="491"/>
  </r>
  <r>
    <n v="69"/>
    <x v="68"/>
    <n v="54"/>
    <x v="5"/>
    <x v="1"/>
    <x v="2"/>
    <x v="0"/>
    <n v="5"/>
    <n v="17500"/>
    <d v="2023-07-06T00:00:00"/>
    <d v="2024-08-05T00:00:00"/>
    <n v="200"/>
    <n v="-65"/>
    <x v="1"/>
    <n v="396"/>
  </r>
  <r>
    <n v="70"/>
    <x v="69"/>
    <n v="36"/>
    <x v="5"/>
    <x v="3"/>
    <x v="0"/>
    <x v="0"/>
    <n v="2"/>
    <n v="28200"/>
    <d v="2023-04-07T00:00:00"/>
    <d v="2023-08-09T00:00:00"/>
    <n v="1238"/>
    <n v="297"/>
    <x v="0"/>
    <n v="124"/>
  </r>
  <r>
    <n v="71"/>
    <x v="70"/>
    <n v="41"/>
    <x v="1"/>
    <x v="2"/>
    <x v="1"/>
    <x v="2"/>
    <n v="3"/>
    <n v="21000"/>
    <d v="2022-08-06T00:00:00"/>
    <d v="2023-02-03T00:00:00"/>
    <n v="378"/>
    <n v="484"/>
    <x v="0"/>
    <n v="181"/>
  </r>
  <r>
    <n v="72"/>
    <x v="71"/>
    <n v="21"/>
    <x v="2"/>
    <x v="2"/>
    <x v="0"/>
    <x v="1"/>
    <n v="9"/>
    <n v="41400"/>
    <d v="2022-03-29T00:00:00"/>
    <d v="2022-07-30T00:00:00"/>
    <n v="5544"/>
    <n v="672"/>
    <x v="0"/>
    <n v="123"/>
  </r>
  <r>
    <n v="73"/>
    <x v="72"/>
    <n v="49"/>
    <x v="5"/>
    <x v="1"/>
    <x v="2"/>
    <x v="2"/>
    <n v="1"/>
    <n v="1400"/>
    <d v="2022-10-29T00:00:00"/>
    <d v="2023-02-19T00:00:00"/>
    <n v="35"/>
    <n v="468"/>
    <x v="0"/>
    <n v="113"/>
  </r>
  <r>
    <n v="74"/>
    <x v="73"/>
    <n v="56"/>
    <x v="4"/>
    <x v="2"/>
    <x v="0"/>
    <x v="2"/>
    <n v="9"/>
    <n v="52200"/>
    <d v="2023-03-12T00:00:00"/>
    <d v="2024-03-27T00:00:00"/>
    <n v="5625"/>
    <n v="66"/>
    <x v="1"/>
    <n v="381"/>
  </r>
  <r>
    <n v="75"/>
    <x v="74"/>
    <n v="40"/>
    <x v="2"/>
    <x v="2"/>
    <x v="2"/>
    <x v="0"/>
    <n v="5"/>
    <n v="24500"/>
    <d v="2022-05-04T00:00:00"/>
    <d v="2023-05-08T00:00:00"/>
    <n v="110"/>
    <n v="390"/>
    <x v="0"/>
    <n v="369"/>
  </r>
  <r>
    <n v="76"/>
    <x v="75"/>
    <n v="34"/>
    <x v="2"/>
    <x v="0"/>
    <x v="3"/>
    <x v="0"/>
    <n v="8"/>
    <n v="8800"/>
    <d v="2023-06-22T00:00:00"/>
    <d v="2024-04-22T00:00:00"/>
    <n v="384"/>
    <n v="40"/>
    <x v="1"/>
    <n v="305"/>
  </r>
  <r>
    <n v="77"/>
    <x v="76"/>
    <n v="44"/>
    <x v="0"/>
    <x v="1"/>
    <x v="0"/>
    <x v="0"/>
    <n v="3"/>
    <n v="6600"/>
    <d v="2022-01-15T00:00:00"/>
    <d v="2023-01-12T00:00:00"/>
    <n v="1872"/>
    <n v="506"/>
    <x v="0"/>
    <n v="362"/>
  </r>
  <r>
    <n v="78"/>
    <x v="77"/>
    <n v="56"/>
    <x v="6"/>
    <x v="2"/>
    <x v="1"/>
    <x v="0"/>
    <n v="5"/>
    <n v="43500"/>
    <d v="2022-05-10T00:00:00"/>
    <d v="2023-04-01T00:00:00"/>
    <n v="705"/>
    <n v="427"/>
    <x v="0"/>
    <n v="326"/>
  </r>
  <r>
    <n v="79"/>
    <x v="78"/>
    <n v="51"/>
    <x v="0"/>
    <x v="0"/>
    <x v="0"/>
    <x v="2"/>
    <n v="8"/>
    <n v="9600"/>
    <d v="2022-07-08T00:00:00"/>
    <d v="2023-11-14T00:00:00"/>
    <n v="4744"/>
    <n v="200"/>
    <x v="0"/>
    <n v="494"/>
  </r>
  <r>
    <n v="80"/>
    <x v="79"/>
    <n v="46"/>
    <x v="3"/>
    <x v="3"/>
    <x v="1"/>
    <x v="0"/>
    <n v="8"/>
    <n v="59200"/>
    <d v="2023-08-14T00:00:00"/>
    <d v="2024-07-01T00:00:00"/>
    <n v="904"/>
    <n v="-30"/>
    <x v="1"/>
    <n v="322"/>
  </r>
  <r>
    <n v="81"/>
    <x v="80"/>
    <n v="36"/>
    <x v="6"/>
    <x v="1"/>
    <x v="0"/>
    <x v="0"/>
    <n v="2"/>
    <n v="6600"/>
    <d v="2023-03-03T00:00:00"/>
    <d v="2024-01-07T00:00:00"/>
    <n v="1256"/>
    <n v="146"/>
    <x v="1"/>
    <n v="310"/>
  </r>
  <r>
    <n v="82"/>
    <x v="81"/>
    <n v="40"/>
    <x v="4"/>
    <x v="3"/>
    <x v="2"/>
    <x v="2"/>
    <n v="10"/>
    <n v="191000"/>
    <d v="2022-11-09T00:00:00"/>
    <d v="2023-08-27T00:00:00"/>
    <n v="490"/>
    <n v="279"/>
    <x v="0"/>
    <n v="291"/>
  </r>
  <r>
    <n v="83"/>
    <x v="82"/>
    <n v="37"/>
    <x v="7"/>
    <x v="0"/>
    <x v="3"/>
    <x v="0"/>
    <n v="2"/>
    <n v="1600"/>
    <d v="2022-09-03T00:00:00"/>
    <d v="2022-11-30T00:00:00"/>
    <n v="130"/>
    <n v="549"/>
    <x v="0"/>
    <n v="88"/>
  </r>
  <r>
    <n v="84"/>
    <x v="83"/>
    <n v="49"/>
    <x v="0"/>
    <x v="1"/>
    <x v="1"/>
    <x v="2"/>
    <n v="10"/>
    <n v="29000"/>
    <d v="2022-10-26T00:00:00"/>
    <d v="2022-11-11T00:00:00"/>
    <n v="1240"/>
    <n v="568"/>
    <x v="0"/>
    <n v="16"/>
  </r>
  <r>
    <n v="85"/>
    <x v="84"/>
    <n v="64"/>
    <x v="3"/>
    <x v="2"/>
    <x v="2"/>
    <x v="0"/>
    <n v="4"/>
    <n v="20800"/>
    <d v="2022-07-22T00:00:00"/>
    <d v="2023-02-24T00:00:00"/>
    <n v="68"/>
    <n v="463"/>
    <x v="0"/>
    <n v="217"/>
  </r>
  <r>
    <n v="86"/>
    <x v="85"/>
    <n v="25"/>
    <x v="4"/>
    <x v="1"/>
    <x v="0"/>
    <x v="0"/>
    <n v="1"/>
    <n v="1700"/>
    <d v="2022-11-11T00:00:00"/>
    <d v="2023-09-11T00:00:00"/>
    <n v="626"/>
    <n v="264"/>
    <x v="0"/>
    <n v="304"/>
  </r>
  <r>
    <n v="87"/>
    <x v="86"/>
    <n v="65"/>
    <x v="3"/>
    <x v="3"/>
    <x v="1"/>
    <x v="2"/>
    <n v="5"/>
    <n v="91000"/>
    <d v="2022-10-06T00:00:00"/>
    <d v="2023-06-19T00:00:00"/>
    <n v="720"/>
    <n v="348"/>
    <x v="0"/>
    <n v="256"/>
  </r>
  <r>
    <n v="88"/>
    <x v="87"/>
    <n v="23"/>
    <x v="5"/>
    <x v="3"/>
    <x v="1"/>
    <x v="1"/>
    <n v="7"/>
    <n v="109200"/>
    <d v="2022-09-14T00:00:00"/>
    <d v="2022-09-27T00:00:00"/>
    <n v="805"/>
    <n v="613"/>
    <x v="0"/>
    <n v="13"/>
  </r>
  <r>
    <n v="89"/>
    <x v="88"/>
    <n v="23"/>
    <x v="4"/>
    <x v="0"/>
    <x v="0"/>
    <x v="1"/>
    <n v="3"/>
    <n v="4500"/>
    <d v="2023-06-16T00:00:00"/>
    <d v="2024-05-14T00:00:00"/>
    <n v="1854"/>
    <n v="18"/>
    <x v="1"/>
    <n v="333"/>
  </r>
  <r>
    <n v="90"/>
    <x v="89"/>
    <n v="26"/>
    <x v="3"/>
    <x v="1"/>
    <x v="2"/>
    <x v="2"/>
    <n v="8"/>
    <n v="19200"/>
    <d v="2023-02-23T00:00:00"/>
    <d v="2023-08-12T00:00:00"/>
    <n v="240"/>
    <n v="294"/>
    <x v="0"/>
    <n v="170"/>
  </r>
  <r>
    <n v="91"/>
    <x v="90"/>
    <n v="65"/>
    <x v="0"/>
    <x v="1"/>
    <x v="0"/>
    <x v="2"/>
    <n v="8"/>
    <n v="17600"/>
    <d v="2023-02-15T00:00:00"/>
    <d v="2024-04-06T00:00:00"/>
    <n v="5000"/>
    <n v="56"/>
    <x v="1"/>
    <n v="416"/>
  </r>
  <r>
    <n v="92"/>
    <x v="91"/>
    <n v="37"/>
    <x v="7"/>
    <x v="3"/>
    <x v="1"/>
    <x v="0"/>
    <n v="6"/>
    <n v="52800"/>
    <d v="2023-02-18T00:00:00"/>
    <d v="2024-05-05T00:00:00"/>
    <n v="852"/>
    <n v="27"/>
    <x v="1"/>
    <n v="442"/>
  </r>
  <r>
    <n v="93"/>
    <x v="92"/>
    <n v="33"/>
    <x v="7"/>
    <x v="3"/>
    <x v="2"/>
    <x v="0"/>
    <n v="9"/>
    <n v="152100"/>
    <d v="2023-05-26T00:00:00"/>
    <d v="2024-04-10T00:00:00"/>
    <n v="342"/>
    <n v="52"/>
    <x v="1"/>
    <n v="320"/>
  </r>
  <r>
    <n v="94"/>
    <x v="93"/>
    <n v="29"/>
    <x v="7"/>
    <x v="1"/>
    <x v="0"/>
    <x v="1"/>
    <n v="5"/>
    <n v="14000"/>
    <d v="2023-05-12T00:00:00"/>
    <d v="2023-07-13T00:00:00"/>
    <n v="2955"/>
    <n v="324"/>
    <x v="0"/>
    <n v="62"/>
  </r>
  <r>
    <n v="95"/>
    <x v="94"/>
    <n v="21"/>
    <x v="4"/>
    <x v="1"/>
    <x v="0"/>
    <x v="1"/>
    <n v="9"/>
    <n v="24300"/>
    <d v="2022-04-06T00:00:00"/>
    <d v="2022-07-30T00:00:00"/>
    <n v="5373"/>
    <n v="672"/>
    <x v="0"/>
    <n v="115"/>
  </r>
  <r>
    <n v="96"/>
    <x v="95"/>
    <n v="39"/>
    <x v="5"/>
    <x v="0"/>
    <x v="3"/>
    <x v="2"/>
    <n v="9"/>
    <n v="17100"/>
    <d v="2022-10-07T00:00:00"/>
    <d v="2023-05-07T00:00:00"/>
    <n v="540"/>
    <n v="391"/>
    <x v="0"/>
    <n v="212"/>
  </r>
  <r>
    <n v="97"/>
    <x v="96"/>
    <n v="30"/>
    <x v="5"/>
    <x v="1"/>
    <x v="2"/>
    <x v="1"/>
    <n v="7"/>
    <n v="12600"/>
    <d v="2023-06-05T00:00:00"/>
    <d v="2024-06-21T00:00:00"/>
    <n v="126"/>
    <n v="-20"/>
    <x v="1"/>
    <n v="382"/>
  </r>
  <r>
    <n v="98"/>
    <x v="97"/>
    <n v="53"/>
    <x v="0"/>
    <x v="2"/>
    <x v="2"/>
    <x v="0"/>
    <n v="5"/>
    <n v="48500"/>
    <d v="2022-01-03T00:00:00"/>
    <d v="2022-05-27T00:00:00"/>
    <n v="145"/>
    <n v="736"/>
    <x v="0"/>
    <n v="144"/>
  </r>
  <r>
    <n v="99"/>
    <x v="98"/>
    <n v="51"/>
    <x v="5"/>
    <x v="1"/>
    <x v="2"/>
    <x v="1"/>
    <n v="6"/>
    <n v="14400"/>
    <d v="2023-07-20T00:00:00"/>
    <d v="2024-08-13T00:00:00"/>
    <n v="264"/>
    <n v="-73"/>
    <x v="1"/>
    <n v="390"/>
  </r>
  <r>
    <n v="100"/>
    <x v="99"/>
    <n v="65"/>
    <x v="1"/>
    <x v="3"/>
    <x v="0"/>
    <x v="0"/>
    <n v="4"/>
    <n v="94800"/>
    <d v="2023-01-28T00:00:00"/>
    <d v="2023-05-27T00:00:00"/>
    <n v="2464"/>
    <n v="371"/>
    <x v="0"/>
    <n v="119"/>
  </r>
  <r>
    <n v="101"/>
    <x v="100"/>
    <n v="45"/>
    <x v="7"/>
    <x v="2"/>
    <x v="2"/>
    <x v="2"/>
    <n v="3"/>
    <n v="21300"/>
    <d v="2022-02-07T00:00:00"/>
    <d v="2022-04-12T00:00:00"/>
    <n v="126"/>
    <n v="781"/>
    <x v="0"/>
    <n v="64"/>
  </r>
  <r>
    <n v="102"/>
    <x v="101"/>
    <n v="54"/>
    <x v="2"/>
    <x v="0"/>
    <x v="2"/>
    <x v="0"/>
    <n v="8"/>
    <n v="4000"/>
    <d v="2022-05-28T00:00:00"/>
    <d v="2022-12-23T00:00:00"/>
    <n v="152"/>
    <n v="526"/>
    <x v="0"/>
    <n v="209"/>
  </r>
  <r>
    <n v="103"/>
    <x v="102"/>
    <n v="60"/>
    <x v="0"/>
    <x v="3"/>
    <x v="0"/>
    <x v="0"/>
    <n v="7"/>
    <n v="53200"/>
    <d v="2022-12-03T00:00:00"/>
    <d v="2024-02-12T00:00:00"/>
    <n v="4368"/>
    <n v="110"/>
    <x v="1"/>
    <n v="436"/>
  </r>
  <r>
    <n v="104"/>
    <x v="103"/>
    <n v="23"/>
    <x v="1"/>
    <x v="2"/>
    <x v="2"/>
    <x v="1"/>
    <n v="10"/>
    <n v="36000"/>
    <d v="2022-08-29T00:00:00"/>
    <d v="2023-07-18T00:00:00"/>
    <n v="280"/>
    <n v="319"/>
    <x v="0"/>
    <n v="323"/>
  </r>
  <r>
    <n v="105"/>
    <x v="104"/>
    <n v="61"/>
    <x v="4"/>
    <x v="0"/>
    <x v="2"/>
    <x v="0"/>
    <n v="2"/>
    <n v="2800"/>
    <d v="2022-06-20T00:00:00"/>
    <d v="2023-06-10T00:00:00"/>
    <n v="58"/>
    <n v="357"/>
    <x v="0"/>
    <n v="355"/>
  </r>
  <r>
    <n v="106"/>
    <x v="105"/>
    <n v="39"/>
    <x v="7"/>
    <x v="0"/>
    <x v="0"/>
    <x v="0"/>
    <n v="6"/>
    <n v="7800"/>
    <d v="2023-03-18T00:00:00"/>
    <d v="2023-05-31T00:00:00"/>
    <n v="3630"/>
    <n v="367"/>
    <x v="0"/>
    <n v="74"/>
  </r>
  <r>
    <n v="107"/>
    <x v="106"/>
    <n v="26"/>
    <x v="1"/>
    <x v="1"/>
    <x v="3"/>
    <x v="0"/>
    <n v="10"/>
    <n v="46000"/>
    <d v="2023-01-27T00:00:00"/>
    <d v="2023-12-10T00:00:00"/>
    <n v="450"/>
    <n v="174"/>
    <x v="1"/>
    <n v="317"/>
  </r>
  <r>
    <n v="108"/>
    <x v="107"/>
    <n v="61"/>
    <x v="5"/>
    <x v="1"/>
    <x v="3"/>
    <x v="2"/>
    <n v="5"/>
    <n v="14500"/>
    <d v="2022-09-19T00:00:00"/>
    <d v="2023-08-26T00:00:00"/>
    <n v="150"/>
    <n v="280"/>
    <x v="0"/>
    <n v="341"/>
  </r>
  <r>
    <n v="109"/>
    <x v="108"/>
    <n v="49"/>
    <x v="5"/>
    <x v="2"/>
    <x v="3"/>
    <x v="0"/>
    <n v="6"/>
    <n v="46800"/>
    <d v="2022-11-03T00:00:00"/>
    <d v="2023-09-26T00:00:00"/>
    <n v="342"/>
    <n v="249"/>
    <x v="0"/>
    <n v="327"/>
  </r>
  <r>
    <n v="110"/>
    <x v="109"/>
    <n v="45"/>
    <x v="3"/>
    <x v="3"/>
    <x v="0"/>
    <x v="0"/>
    <n v="8"/>
    <n v="68000"/>
    <d v="2022-08-31T00:00:00"/>
    <d v="2023-03-14T00:00:00"/>
    <n v="5008"/>
    <n v="445"/>
    <x v="0"/>
    <n v="195"/>
  </r>
  <r>
    <n v="111"/>
    <x v="110"/>
    <n v="63"/>
    <x v="2"/>
    <x v="2"/>
    <x v="0"/>
    <x v="0"/>
    <n v="7"/>
    <n v="36400"/>
    <d v="2022-01-09T00:00:00"/>
    <d v="2022-10-25T00:00:00"/>
    <n v="4151"/>
    <n v="585"/>
    <x v="0"/>
    <n v="289"/>
  </r>
  <r>
    <n v="112"/>
    <x v="111"/>
    <n v="43"/>
    <x v="5"/>
    <x v="2"/>
    <x v="3"/>
    <x v="1"/>
    <n v="4"/>
    <n v="32800"/>
    <d v="2022-07-14T00:00:00"/>
    <d v="2023-05-27T00:00:00"/>
    <n v="184"/>
    <n v="371"/>
    <x v="0"/>
    <n v="317"/>
  </r>
  <r>
    <n v="113"/>
    <x v="112"/>
    <n v="49"/>
    <x v="6"/>
    <x v="0"/>
    <x v="1"/>
    <x v="0"/>
    <n v="1"/>
    <n v="1700"/>
    <d v="2023-01-09T00:00:00"/>
    <d v="2024-01-18T00:00:00"/>
    <n v="118"/>
    <n v="135"/>
    <x v="1"/>
    <n v="374"/>
  </r>
  <r>
    <n v="114"/>
    <x v="113"/>
    <n v="32"/>
    <x v="0"/>
    <x v="2"/>
    <x v="0"/>
    <x v="2"/>
    <n v="4"/>
    <n v="16400"/>
    <d v="2023-07-07T00:00:00"/>
    <d v="2024-09-27T00:00:00"/>
    <n v="2452"/>
    <n v="-118"/>
    <x v="1"/>
    <n v="448"/>
  </r>
  <r>
    <n v="115"/>
    <x v="114"/>
    <n v="39"/>
    <x v="3"/>
    <x v="1"/>
    <x v="0"/>
    <x v="2"/>
    <n v="6"/>
    <n v="25800"/>
    <d v="2022-04-28T00:00:00"/>
    <d v="2022-12-23T00:00:00"/>
    <n v="3564"/>
    <n v="526"/>
    <x v="0"/>
    <n v="239"/>
  </r>
  <r>
    <n v="116"/>
    <x v="115"/>
    <n v="44"/>
    <x v="6"/>
    <x v="1"/>
    <x v="2"/>
    <x v="1"/>
    <n v="2"/>
    <n v="8400"/>
    <d v="2023-02-09T00:00:00"/>
    <d v="2023-02-16T00:00:00"/>
    <n v="52"/>
    <n v="471"/>
    <x v="0"/>
    <n v="7"/>
  </r>
  <r>
    <n v="117"/>
    <x v="116"/>
    <n v="58"/>
    <x v="0"/>
    <x v="3"/>
    <x v="0"/>
    <x v="0"/>
    <n v="7"/>
    <n v="120400"/>
    <d v="2022-04-21T00:00:00"/>
    <d v="2023-04-01T00:00:00"/>
    <n v="4228"/>
    <n v="427"/>
    <x v="0"/>
    <n v="345"/>
  </r>
  <r>
    <n v="118"/>
    <x v="117"/>
    <n v="35"/>
    <x v="5"/>
    <x v="0"/>
    <x v="0"/>
    <x v="1"/>
    <n v="2"/>
    <n v="3600"/>
    <d v="2023-04-21T00:00:00"/>
    <d v="2024-07-29T00:00:00"/>
    <n v="1218"/>
    <n v="-58"/>
    <x v="1"/>
    <n v="465"/>
  </r>
  <r>
    <n v="119"/>
    <x v="118"/>
    <n v="23"/>
    <x v="1"/>
    <x v="0"/>
    <x v="3"/>
    <x v="0"/>
    <n v="5"/>
    <n v="7500"/>
    <d v="2022-04-29T00:00:00"/>
    <d v="2022-06-17T00:00:00"/>
    <n v="225"/>
    <n v="715"/>
    <x v="0"/>
    <n v="49"/>
  </r>
  <r>
    <n v="120"/>
    <x v="119"/>
    <n v="63"/>
    <x v="6"/>
    <x v="3"/>
    <x v="2"/>
    <x v="0"/>
    <n v="9"/>
    <n v="168300"/>
    <d v="2022-06-08T00:00:00"/>
    <d v="2023-09-04T00:00:00"/>
    <n v="324"/>
    <n v="271"/>
    <x v="0"/>
    <n v="453"/>
  </r>
  <r>
    <n v="121"/>
    <x v="120"/>
    <n v="23"/>
    <x v="0"/>
    <x v="3"/>
    <x v="2"/>
    <x v="0"/>
    <n v="6"/>
    <n v="72600"/>
    <d v="2023-03-31T00:00:00"/>
    <d v="2023-11-13T00:00:00"/>
    <n v="150"/>
    <n v="201"/>
    <x v="0"/>
    <n v="227"/>
  </r>
  <r>
    <n v="122"/>
    <x v="121"/>
    <n v="62"/>
    <x v="2"/>
    <x v="0"/>
    <x v="0"/>
    <x v="1"/>
    <n v="6"/>
    <n v="3600"/>
    <d v="2023-02-12T00:00:00"/>
    <d v="2023-07-03T00:00:00"/>
    <n v="3612"/>
    <n v="334"/>
    <x v="0"/>
    <n v="141"/>
  </r>
  <r>
    <n v="123"/>
    <x v="122"/>
    <n v="62"/>
    <x v="0"/>
    <x v="3"/>
    <x v="1"/>
    <x v="0"/>
    <n v="10"/>
    <n v="57000"/>
    <d v="2022-02-21T00:00:00"/>
    <d v="2023-03-30T00:00:00"/>
    <n v="1310"/>
    <n v="429"/>
    <x v="0"/>
    <n v="402"/>
  </r>
  <r>
    <n v="124"/>
    <x v="123"/>
    <n v="56"/>
    <x v="4"/>
    <x v="1"/>
    <x v="3"/>
    <x v="0"/>
    <n v="4"/>
    <n v="13600"/>
    <d v="2022-08-10T00:00:00"/>
    <d v="2023-09-30T00:00:00"/>
    <n v="176"/>
    <n v="245"/>
    <x v="0"/>
    <n v="416"/>
  </r>
  <r>
    <n v="125"/>
    <x v="124"/>
    <n v="30"/>
    <x v="2"/>
    <x v="1"/>
    <x v="1"/>
    <x v="0"/>
    <n v="3"/>
    <n v="9600"/>
    <d v="2022-09-14T00:00:00"/>
    <d v="2023-10-27T00:00:00"/>
    <n v="363"/>
    <n v="218"/>
    <x v="0"/>
    <n v="408"/>
  </r>
  <r>
    <n v="126"/>
    <x v="125"/>
    <n v="43"/>
    <x v="0"/>
    <x v="0"/>
    <x v="3"/>
    <x v="0"/>
    <n v="4"/>
    <n v="6800"/>
    <d v="2022-11-28T00:00:00"/>
    <d v="2022-12-06T00:00:00"/>
    <n v="164"/>
    <n v="543"/>
    <x v="0"/>
    <n v="8"/>
  </r>
  <r>
    <n v="127"/>
    <x v="126"/>
    <n v="54"/>
    <x v="3"/>
    <x v="0"/>
    <x v="3"/>
    <x v="2"/>
    <n v="2"/>
    <n v="1200"/>
    <d v="2023-05-03T00:00:00"/>
    <d v="2023-12-18T00:00:00"/>
    <n v="106"/>
    <n v="166"/>
    <x v="1"/>
    <n v="229"/>
  </r>
  <r>
    <n v="128"/>
    <x v="127"/>
    <n v="23"/>
    <x v="0"/>
    <x v="3"/>
    <x v="3"/>
    <x v="1"/>
    <n v="9"/>
    <n v="134100"/>
    <d v="2023-04-15T00:00:00"/>
    <d v="2024-03-09T00:00:00"/>
    <n v="279"/>
    <n v="84"/>
    <x v="1"/>
    <n v="329"/>
  </r>
  <r>
    <n v="129"/>
    <x v="128"/>
    <n v="64"/>
    <x v="7"/>
    <x v="3"/>
    <x v="2"/>
    <x v="2"/>
    <n v="2"/>
    <n v="42200"/>
    <d v="2023-03-31T00:00:00"/>
    <d v="2023-05-07T00:00:00"/>
    <n v="30"/>
    <n v="391"/>
    <x v="0"/>
    <n v="37"/>
  </r>
  <r>
    <n v="130"/>
    <x v="129"/>
    <n v="38"/>
    <x v="2"/>
    <x v="1"/>
    <x v="1"/>
    <x v="0"/>
    <n v="10"/>
    <n v="36000"/>
    <d v="2023-08-23T00:00:00"/>
    <d v="2024-05-29T00:00:00"/>
    <n v="1300"/>
    <n v="3"/>
    <x v="1"/>
    <n v="280"/>
  </r>
  <r>
    <n v="131"/>
    <x v="130"/>
    <n v="59"/>
    <x v="1"/>
    <x v="2"/>
    <x v="2"/>
    <x v="1"/>
    <n v="7"/>
    <n v="26600"/>
    <d v="2022-04-28T00:00:00"/>
    <d v="2023-07-08T00:00:00"/>
    <n v="315"/>
    <n v="329"/>
    <x v="0"/>
    <n v="436"/>
  </r>
  <r>
    <n v="132"/>
    <x v="131"/>
    <n v="47"/>
    <x v="4"/>
    <x v="3"/>
    <x v="2"/>
    <x v="0"/>
    <n v="6"/>
    <n v="119400"/>
    <d v="2023-02-13T00:00:00"/>
    <d v="2023-09-13T00:00:00"/>
    <n v="96"/>
    <n v="262"/>
    <x v="0"/>
    <n v="212"/>
  </r>
  <r>
    <n v="133"/>
    <x v="132"/>
    <n v="44"/>
    <x v="2"/>
    <x v="3"/>
    <x v="0"/>
    <x v="0"/>
    <n v="3"/>
    <n v="61500"/>
    <d v="2022-03-10T00:00:00"/>
    <d v="2022-04-25T00:00:00"/>
    <n v="1785"/>
    <n v="768"/>
    <x v="0"/>
    <n v="46"/>
  </r>
  <r>
    <n v="134"/>
    <x v="133"/>
    <n v="29"/>
    <x v="0"/>
    <x v="3"/>
    <x v="1"/>
    <x v="0"/>
    <n v="9"/>
    <n v="63000"/>
    <d v="2023-08-24T00:00:00"/>
    <d v="2024-12-25T00:00:00"/>
    <n v="1305"/>
    <n v="-207"/>
    <x v="1"/>
    <n v="489"/>
  </r>
  <r>
    <n v="135"/>
    <x v="134"/>
    <n v="63"/>
    <x v="2"/>
    <x v="0"/>
    <x v="2"/>
    <x v="0"/>
    <n v="7"/>
    <n v="14000"/>
    <d v="2022-02-22T00:00:00"/>
    <d v="2023-07-02T00:00:00"/>
    <n v="196"/>
    <n v="335"/>
    <x v="0"/>
    <n v="495"/>
  </r>
  <r>
    <n v="136"/>
    <x v="135"/>
    <n v="53"/>
    <x v="3"/>
    <x v="2"/>
    <x v="1"/>
    <x v="1"/>
    <n v="4"/>
    <n v="17200"/>
    <d v="2023-05-09T00:00:00"/>
    <d v="2023-08-31T00:00:00"/>
    <n v="464"/>
    <n v="275"/>
    <x v="0"/>
    <n v="114"/>
  </r>
  <r>
    <n v="137"/>
    <x v="136"/>
    <n v="57"/>
    <x v="2"/>
    <x v="2"/>
    <x v="1"/>
    <x v="0"/>
    <n v="4"/>
    <n v="38400"/>
    <d v="2023-03-16T00:00:00"/>
    <d v="2024-05-21T00:00:00"/>
    <n v="580"/>
    <n v="11"/>
    <x v="1"/>
    <n v="432"/>
  </r>
  <r>
    <n v="138"/>
    <x v="137"/>
    <n v="38"/>
    <x v="7"/>
    <x v="2"/>
    <x v="1"/>
    <x v="0"/>
    <n v="5"/>
    <n v="29000"/>
    <d v="2022-12-26T00:00:00"/>
    <d v="2022-12-29T00:00:00"/>
    <n v="605"/>
    <n v="520"/>
    <x v="0"/>
    <n v="3"/>
  </r>
  <r>
    <n v="139"/>
    <x v="138"/>
    <n v="61"/>
    <x v="6"/>
    <x v="3"/>
    <x v="1"/>
    <x v="0"/>
    <n v="1"/>
    <n v="8000"/>
    <d v="2023-06-28T00:00:00"/>
    <d v="2023-10-16T00:00:00"/>
    <n v="134"/>
    <n v="229"/>
    <x v="0"/>
    <n v="110"/>
  </r>
  <r>
    <n v="140"/>
    <x v="139"/>
    <n v="44"/>
    <x v="1"/>
    <x v="3"/>
    <x v="0"/>
    <x v="0"/>
    <n v="5"/>
    <n v="78000"/>
    <d v="2023-08-05T00:00:00"/>
    <d v="2024-06-05T00:00:00"/>
    <n v="2975"/>
    <n v="-4"/>
    <x v="1"/>
    <n v="305"/>
  </r>
  <r>
    <n v="141"/>
    <x v="140"/>
    <n v="24"/>
    <x v="7"/>
    <x v="1"/>
    <x v="3"/>
    <x v="1"/>
    <n v="2"/>
    <n v="4200"/>
    <d v="2023-03-30T00:00:00"/>
    <d v="2024-03-02T00:00:00"/>
    <n v="114"/>
    <n v="91"/>
    <x v="1"/>
    <n v="338"/>
  </r>
  <r>
    <n v="142"/>
    <x v="141"/>
    <n v="34"/>
    <x v="5"/>
    <x v="3"/>
    <x v="2"/>
    <x v="0"/>
    <n v="9"/>
    <n v="78300"/>
    <d v="2022-12-20T00:00:00"/>
    <d v="2023-07-28T00:00:00"/>
    <n v="153"/>
    <n v="309"/>
    <x v="0"/>
    <n v="220"/>
  </r>
  <r>
    <n v="143"/>
    <x v="142"/>
    <n v="35"/>
    <x v="3"/>
    <x v="3"/>
    <x v="0"/>
    <x v="0"/>
    <n v="7"/>
    <n v="172200"/>
    <d v="2022-02-26T00:00:00"/>
    <d v="2022-03-01T00:00:00"/>
    <n v="4221"/>
    <n v="823"/>
    <x v="0"/>
    <n v="3"/>
  </r>
  <r>
    <n v="144"/>
    <x v="143"/>
    <n v="39"/>
    <x v="3"/>
    <x v="1"/>
    <x v="3"/>
    <x v="0"/>
    <n v="6"/>
    <n v="9000"/>
    <d v="2022-01-08T00:00:00"/>
    <d v="2022-09-19T00:00:00"/>
    <n v="342"/>
    <n v="621"/>
    <x v="0"/>
    <n v="254"/>
  </r>
  <r>
    <n v="145"/>
    <x v="144"/>
    <n v="35"/>
    <x v="6"/>
    <x v="1"/>
    <x v="2"/>
    <x v="1"/>
    <n v="9"/>
    <n v="29700"/>
    <d v="2022-12-29T00:00:00"/>
    <d v="2023-02-03T00:00:00"/>
    <n v="315"/>
    <n v="484"/>
    <x v="0"/>
    <n v="36"/>
  </r>
  <r>
    <n v="146"/>
    <x v="145"/>
    <n v="25"/>
    <x v="7"/>
    <x v="3"/>
    <x v="1"/>
    <x v="2"/>
    <n v="6"/>
    <n v="143400"/>
    <d v="2023-03-16T00:00:00"/>
    <d v="2024-01-03T00:00:00"/>
    <n v="810"/>
    <n v="150"/>
    <x v="1"/>
    <n v="293"/>
  </r>
  <r>
    <n v="147"/>
    <x v="146"/>
    <n v="22"/>
    <x v="1"/>
    <x v="2"/>
    <x v="1"/>
    <x v="2"/>
    <n v="6"/>
    <n v="26400"/>
    <d v="2023-04-17T00:00:00"/>
    <d v="2024-06-15T00:00:00"/>
    <n v="798"/>
    <n v="-14"/>
    <x v="1"/>
    <n v="425"/>
  </r>
  <r>
    <n v="148"/>
    <x v="147"/>
    <n v="48"/>
    <x v="0"/>
    <x v="3"/>
    <x v="1"/>
    <x v="0"/>
    <n v="10"/>
    <n v="181000"/>
    <d v="2023-06-21T00:00:00"/>
    <d v="2023-07-31T00:00:00"/>
    <n v="1350"/>
    <n v="306"/>
    <x v="0"/>
    <n v="40"/>
  </r>
  <r>
    <n v="149"/>
    <x v="148"/>
    <n v="31"/>
    <x v="3"/>
    <x v="2"/>
    <x v="3"/>
    <x v="0"/>
    <n v="2"/>
    <n v="14400"/>
    <d v="2022-04-27T00:00:00"/>
    <d v="2023-01-23T00:00:00"/>
    <n v="124"/>
    <n v="495"/>
    <x v="0"/>
    <n v="271"/>
  </r>
  <r>
    <n v="150"/>
    <x v="149"/>
    <n v="36"/>
    <x v="4"/>
    <x v="2"/>
    <x v="0"/>
    <x v="0"/>
    <n v="2"/>
    <n v="8400"/>
    <d v="2022-09-20T00:00:00"/>
    <d v="2022-12-30T00:00:00"/>
    <n v="1202"/>
    <n v="519"/>
    <x v="0"/>
    <n v="101"/>
  </r>
  <r>
    <n v="151"/>
    <x v="150"/>
    <n v="50"/>
    <x v="6"/>
    <x v="0"/>
    <x v="3"/>
    <x v="2"/>
    <n v="10"/>
    <n v="17000"/>
    <d v="2023-04-05T00:00:00"/>
    <d v="2024-03-18T00:00:00"/>
    <n v="660"/>
    <n v="75"/>
    <x v="1"/>
    <n v="348"/>
  </r>
  <r>
    <n v="152"/>
    <x v="151"/>
    <n v="25"/>
    <x v="2"/>
    <x v="2"/>
    <x v="3"/>
    <x v="2"/>
    <n v="8"/>
    <n v="52800"/>
    <d v="2022-11-07T00:00:00"/>
    <d v="2023-12-19T00:00:00"/>
    <n v="376"/>
    <n v="165"/>
    <x v="1"/>
    <n v="407"/>
  </r>
  <r>
    <n v="153"/>
    <x v="152"/>
    <n v="50"/>
    <x v="7"/>
    <x v="2"/>
    <x v="1"/>
    <x v="0"/>
    <n v="8"/>
    <n v="26400"/>
    <d v="2022-02-28T00:00:00"/>
    <d v="2022-09-04T00:00:00"/>
    <n v="1024"/>
    <n v="636"/>
    <x v="0"/>
    <n v="188"/>
  </r>
  <r>
    <n v="154"/>
    <x v="153"/>
    <n v="58"/>
    <x v="0"/>
    <x v="0"/>
    <x v="2"/>
    <x v="2"/>
    <n v="9"/>
    <n v="5400"/>
    <d v="2023-04-06T00:00:00"/>
    <d v="2024-07-14T00:00:00"/>
    <n v="414"/>
    <n v="-43"/>
    <x v="1"/>
    <n v="465"/>
  </r>
  <r>
    <n v="155"/>
    <x v="154"/>
    <n v="30"/>
    <x v="4"/>
    <x v="2"/>
    <x v="2"/>
    <x v="1"/>
    <n v="1"/>
    <n v="6700"/>
    <d v="2022-04-16T00:00:00"/>
    <d v="2023-06-05T00:00:00"/>
    <n v="31"/>
    <n v="362"/>
    <x v="0"/>
    <n v="415"/>
  </r>
  <r>
    <n v="156"/>
    <x v="155"/>
    <n v="49"/>
    <x v="0"/>
    <x v="1"/>
    <x v="1"/>
    <x v="0"/>
    <n v="8"/>
    <n v="24800"/>
    <d v="2023-06-20T00:00:00"/>
    <d v="2024-04-27T00:00:00"/>
    <n v="960"/>
    <n v="35"/>
    <x v="1"/>
    <n v="312"/>
  </r>
  <r>
    <n v="157"/>
    <x v="156"/>
    <n v="47"/>
    <x v="2"/>
    <x v="2"/>
    <x v="0"/>
    <x v="2"/>
    <n v="6"/>
    <n v="51600"/>
    <d v="2022-02-23T00:00:00"/>
    <d v="2023-04-03T00:00:00"/>
    <n v="3780"/>
    <n v="425"/>
    <x v="0"/>
    <n v="404"/>
  </r>
  <r>
    <n v="158"/>
    <x v="157"/>
    <n v="56"/>
    <x v="2"/>
    <x v="0"/>
    <x v="0"/>
    <x v="0"/>
    <n v="7"/>
    <n v="7700"/>
    <d v="2022-09-16T00:00:00"/>
    <d v="2023-09-21T00:00:00"/>
    <n v="4396"/>
    <n v="254"/>
    <x v="0"/>
    <n v="370"/>
  </r>
  <r>
    <n v="159"/>
    <x v="158"/>
    <n v="63"/>
    <x v="6"/>
    <x v="2"/>
    <x v="1"/>
    <x v="1"/>
    <n v="3"/>
    <n v="17700"/>
    <d v="2022-11-14T00:00:00"/>
    <d v="2024-03-23T00:00:00"/>
    <n v="405"/>
    <n v="70"/>
    <x v="1"/>
    <n v="495"/>
  </r>
  <r>
    <n v="160"/>
    <x v="159"/>
    <n v="45"/>
    <x v="6"/>
    <x v="0"/>
    <x v="0"/>
    <x v="1"/>
    <n v="6"/>
    <n v="4800"/>
    <d v="2023-06-24T00:00:00"/>
    <d v="2023-08-10T00:00:00"/>
    <n v="3702"/>
    <n v="296"/>
    <x v="0"/>
    <n v="47"/>
  </r>
  <r>
    <n v="161"/>
    <x v="160"/>
    <n v="32"/>
    <x v="2"/>
    <x v="0"/>
    <x v="0"/>
    <x v="0"/>
    <n v="4"/>
    <n v="4800"/>
    <d v="2023-05-13T00:00:00"/>
    <d v="2023-08-19T00:00:00"/>
    <n v="2416"/>
    <n v="287"/>
    <x v="0"/>
    <n v="98"/>
  </r>
  <r>
    <n v="162"/>
    <x v="161"/>
    <n v="27"/>
    <x v="6"/>
    <x v="1"/>
    <x v="1"/>
    <x v="0"/>
    <n v="9"/>
    <n v="37800"/>
    <d v="2023-07-07T00:00:00"/>
    <d v="2024-09-06T00:00:00"/>
    <n v="1287"/>
    <n v="-97"/>
    <x v="1"/>
    <n v="427"/>
  </r>
  <r>
    <n v="163"/>
    <x v="162"/>
    <n v="45"/>
    <x v="7"/>
    <x v="2"/>
    <x v="3"/>
    <x v="1"/>
    <n v="3"/>
    <n v="12900"/>
    <d v="2022-07-05T00:00:00"/>
    <d v="2023-09-03T00:00:00"/>
    <n v="207"/>
    <n v="272"/>
    <x v="0"/>
    <n v="425"/>
  </r>
  <r>
    <n v="164"/>
    <x v="163"/>
    <n v="44"/>
    <x v="6"/>
    <x v="3"/>
    <x v="1"/>
    <x v="2"/>
    <n v="4"/>
    <n v="78400"/>
    <d v="2022-10-19T00:00:00"/>
    <d v="2023-11-08T00:00:00"/>
    <n v="552"/>
    <n v="206"/>
    <x v="0"/>
    <n v="385"/>
  </r>
  <r>
    <n v="165"/>
    <x v="164"/>
    <n v="33"/>
    <x v="4"/>
    <x v="1"/>
    <x v="0"/>
    <x v="2"/>
    <n v="6"/>
    <n v="22800"/>
    <d v="2023-08-08T00:00:00"/>
    <d v="2024-03-20T00:00:00"/>
    <n v="3714"/>
    <n v="73"/>
    <x v="1"/>
    <n v="225"/>
  </r>
  <r>
    <n v="166"/>
    <x v="165"/>
    <n v="33"/>
    <x v="3"/>
    <x v="3"/>
    <x v="2"/>
    <x v="0"/>
    <n v="10"/>
    <n v="95000"/>
    <d v="2022-09-14T00:00:00"/>
    <d v="2022-10-10T00:00:00"/>
    <n v="400"/>
    <n v="600"/>
    <x v="0"/>
    <n v="26"/>
  </r>
  <r>
    <n v="167"/>
    <x v="166"/>
    <n v="26"/>
    <x v="2"/>
    <x v="0"/>
    <x v="1"/>
    <x v="0"/>
    <n v="3"/>
    <n v="3300"/>
    <d v="2023-04-06T00:00:00"/>
    <d v="2024-07-12T00:00:00"/>
    <n v="426"/>
    <n v="-41"/>
    <x v="1"/>
    <n v="463"/>
  </r>
  <r>
    <n v="168"/>
    <x v="167"/>
    <n v="49"/>
    <x v="6"/>
    <x v="3"/>
    <x v="1"/>
    <x v="0"/>
    <n v="6"/>
    <n v="35400"/>
    <d v="2023-03-01T00:00:00"/>
    <d v="2023-03-28T00:00:00"/>
    <n v="810"/>
    <n v="431"/>
    <x v="0"/>
    <n v="27"/>
  </r>
  <r>
    <n v="169"/>
    <x v="168"/>
    <n v="44"/>
    <x v="2"/>
    <x v="1"/>
    <x v="2"/>
    <x v="0"/>
    <n v="4"/>
    <n v="4400"/>
    <d v="2022-11-23T00:00:00"/>
    <d v="2024-03-13T00:00:00"/>
    <n v="64"/>
    <n v="80"/>
    <x v="1"/>
    <n v="476"/>
  </r>
  <r>
    <n v="170"/>
    <x v="169"/>
    <n v="39"/>
    <x v="2"/>
    <x v="1"/>
    <x v="3"/>
    <x v="0"/>
    <n v="8"/>
    <n v="31200"/>
    <d v="2022-05-23T00:00:00"/>
    <d v="2023-06-15T00:00:00"/>
    <n v="480"/>
    <n v="352"/>
    <x v="0"/>
    <n v="388"/>
  </r>
  <r>
    <n v="171"/>
    <x v="170"/>
    <n v="37"/>
    <x v="5"/>
    <x v="0"/>
    <x v="1"/>
    <x v="0"/>
    <n v="4"/>
    <n v="3200"/>
    <d v="2023-07-16T00:00:00"/>
    <d v="2024-11-08T00:00:00"/>
    <n v="592"/>
    <n v="-160"/>
    <x v="1"/>
    <n v="481"/>
  </r>
  <r>
    <n v="172"/>
    <x v="171"/>
    <n v="40"/>
    <x v="1"/>
    <x v="0"/>
    <x v="0"/>
    <x v="0"/>
    <n v="2"/>
    <n v="1200"/>
    <d v="2022-09-02T00:00:00"/>
    <d v="2023-04-04T00:00:00"/>
    <n v="1260"/>
    <n v="424"/>
    <x v="0"/>
    <n v="214"/>
  </r>
  <r>
    <n v="173"/>
    <x v="172"/>
    <n v="59"/>
    <x v="5"/>
    <x v="0"/>
    <x v="1"/>
    <x v="2"/>
    <n v="9"/>
    <n v="4500"/>
    <d v="2023-06-12T00:00:00"/>
    <d v="2024-04-01T00:00:00"/>
    <n v="1125"/>
    <n v="61"/>
    <x v="1"/>
    <n v="294"/>
  </r>
  <r>
    <n v="174"/>
    <x v="173"/>
    <n v="60"/>
    <x v="6"/>
    <x v="2"/>
    <x v="2"/>
    <x v="0"/>
    <n v="6"/>
    <n v="30000"/>
    <d v="2023-08-08T00:00:00"/>
    <d v="2024-03-08T00:00:00"/>
    <n v="126"/>
    <n v="85"/>
    <x v="1"/>
    <n v="213"/>
  </r>
  <r>
    <n v="175"/>
    <x v="174"/>
    <n v="55"/>
    <x v="0"/>
    <x v="2"/>
    <x v="1"/>
    <x v="1"/>
    <n v="9"/>
    <n v="84600"/>
    <d v="2023-06-04T00:00:00"/>
    <d v="2024-03-13T00:00:00"/>
    <n v="999"/>
    <n v="80"/>
    <x v="1"/>
    <n v="283"/>
  </r>
  <r>
    <n v="176"/>
    <x v="175"/>
    <n v="44"/>
    <x v="1"/>
    <x v="3"/>
    <x v="1"/>
    <x v="2"/>
    <n v="5"/>
    <n v="27500"/>
    <d v="2023-01-01T00:00:00"/>
    <d v="2024-02-08T00:00:00"/>
    <n v="570"/>
    <n v="114"/>
    <x v="1"/>
    <n v="403"/>
  </r>
  <r>
    <n v="177"/>
    <x v="176"/>
    <n v="42"/>
    <x v="2"/>
    <x v="1"/>
    <x v="1"/>
    <x v="1"/>
    <n v="3"/>
    <n v="3600"/>
    <d v="2022-12-27T00:00:00"/>
    <d v="2023-10-02T00:00:00"/>
    <n v="393"/>
    <n v="243"/>
    <x v="0"/>
    <n v="279"/>
  </r>
  <r>
    <n v="178"/>
    <x v="177"/>
    <n v="29"/>
    <x v="6"/>
    <x v="3"/>
    <x v="2"/>
    <x v="0"/>
    <n v="2"/>
    <n v="40000"/>
    <d v="2022-02-07T00:00:00"/>
    <d v="2022-07-07T00:00:00"/>
    <n v="44"/>
    <n v="695"/>
    <x v="0"/>
    <n v="150"/>
  </r>
  <r>
    <n v="179"/>
    <x v="178"/>
    <n v="40"/>
    <x v="7"/>
    <x v="1"/>
    <x v="1"/>
    <x v="0"/>
    <n v="9"/>
    <n v="23400"/>
    <d v="2023-07-11T00:00:00"/>
    <d v="2024-03-09T00:00:00"/>
    <n v="1134"/>
    <n v="84"/>
    <x v="1"/>
    <n v="242"/>
  </r>
  <r>
    <n v="180"/>
    <x v="179"/>
    <n v="24"/>
    <x v="7"/>
    <x v="1"/>
    <x v="0"/>
    <x v="0"/>
    <n v="6"/>
    <n v="12600"/>
    <d v="2022-05-08T00:00:00"/>
    <d v="2023-06-21T00:00:00"/>
    <n v="3678"/>
    <n v="346"/>
    <x v="0"/>
    <n v="409"/>
  </r>
  <r>
    <n v="181"/>
    <x v="180"/>
    <n v="42"/>
    <x v="1"/>
    <x v="3"/>
    <x v="2"/>
    <x v="2"/>
    <n v="3"/>
    <n v="63900"/>
    <d v="2023-05-25T00:00:00"/>
    <d v="2023-11-29T00:00:00"/>
    <n v="129"/>
    <n v="185"/>
    <x v="0"/>
    <n v="188"/>
  </r>
  <r>
    <n v="182"/>
    <x v="181"/>
    <n v="48"/>
    <x v="3"/>
    <x v="0"/>
    <x v="2"/>
    <x v="0"/>
    <n v="10"/>
    <n v="9000"/>
    <d v="2023-07-13T00:00:00"/>
    <d v="2023-12-10T00:00:00"/>
    <n v="300"/>
    <n v="174"/>
    <x v="1"/>
    <n v="150"/>
  </r>
  <r>
    <n v="183"/>
    <x v="182"/>
    <n v="40"/>
    <x v="0"/>
    <x v="0"/>
    <x v="0"/>
    <x v="0"/>
    <n v="8"/>
    <n v="13600"/>
    <d v="2023-03-13T00:00:00"/>
    <d v="2023-06-06T00:00:00"/>
    <n v="4944"/>
    <n v="361"/>
    <x v="0"/>
    <n v="85"/>
  </r>
  <r>
    <n v="184"/>
    <x v="183"/>
    <n v="60"/>
    <x v="2"/>
    <x v="3"/>
    <x v="1"/>
    <x v="0"/>
    <n v="7"/>
    <n v="98000"/>
    <d v="2022-02-28T00:00:00"/>
    <d v="2022-04-07T00:00:00"/>
    <n v="1050"/>
    <n v="786"/>
    <x v="0"/>
    <n v="38"/>
  </r>
  <r>
    <n v="185"/>
    <x v="184"/>
    <n v="30"/>
    <x v="1"/>
    <x v="2"/>
    <x v="3"/>
    <x v="0"/>
    <n v="10"/>
    <n v="86000"/>
    <d v="2023-03-25T00:00:00"/>
    <d v="2023-04-11T00:00:00"/>
    <n v="380"/>
    <n v="417"/>
    <x v="0"/>
    <n v="17"/>
  </r>
  <r>
    <n v="186"/>
    <x v="185"/>
    <n v="45"/>
    <x v="0"/>
    <x v="1"/>
    <x v="0"/>
    <x v="0"/>
    <n v="10"/>
    <n v="11000"/>
    <d v="2022-06-07T00:00:00"/>
    <d v="2023-05-20T00:00:00"/>
    <n v="6180"/>
    <n v="378"/>
    <x v="0"/>
    <n v="347"/>
  </r>
  <r>
    <n v="187"/>
    <x v="186"/>
    <n v="57"/>
    <x v="2"/>
    <x v="2"/>
    <x v="2"/>
    <x v="0"/>
    <n v="3"/>
    <n v="21900"/>
    <d v="2023-01-11T00:00:00"/>
    <d v="2023-08-02T00:00:00"/>
    <n v="90"/>
    <n v="304"/>
    <x v="0"/>
    <n v="203"/>
  </r>
  <r>
    <n v="188"/>
    <x v="187"/>
    <n v="32"/>
    <x v="3"/>
    <x v="1"/>
    <x v="1"/>
    <x v="0"/>
    <n v="8"/>
    <n v="24800"/>
    <d v="2023-02-01T00:00:00"/>
    <d v="2024-05-13T00:00:00"/>
    <n v="1160"/>
    <n v="19"/>
    <x v="1"/>
    <n v="467"/>
  </r>
  <r>
    <n v="189"/>
    <x v="188"/>
    <n v="34"/>
    <x v="0"/>
    <x v="2"/>
    <x v="0"/>
    <x v="2"/>
    <n v="10"/>
    <n v="53000"/>
    <d v="2023-05-18T00:00:00"/>
    <d v="2023-08-28T00:00:00"/>
    <n v="5970"/>
    <n v="278"/>
    <x v="0"/>
    <n v="102"/>
  </r>
  <r>
    <n v="190"/>
    <x v="189"/>
    <n v="49"/>
    <x v="6"/>
    <x v="0"/>
    <x v="2"/>
    <x v="0"/>
    <n v="2"/>
    <n v="3800"/>
    <d v="2022-11-24T00:00:00"/>
    <d v="2023-10-31T00:00:00"/>
    <n v="64"/>
    <n v="214"/>
    <x v="0"/>
    <n v="341"/>
  </r>
  <r>
    <n v="191"/>
    <x v="190"/>
    <n v="65"/>
    <x v="0"/>
    <x v="2"/>
    <x v="0"/>
    <x v="0"/>
    <n v="3"/>
    <n v="28500"/>
    <d v="2023-01-06T00:00:00"/>
    <d v="2023-09-23T00:00:00"/>
    <n v="1812"/>
    <n v="252"/>
    <x v="0"/>
    <n v="260"/>
  </r>
  <r>
    <n v="192"/>
    <x v="191"/>
    <n v="52"/>
    <x v="0"/>
    <x v="1"/>
    <x v="3"/>
    <x v="0"/>
    <n v="1"/>
    <n v="2500"/>
    <d v="2023-07-22T00:00:00"/>
    <d v="2024-05-10T00:00:00"/>
    <n v="53"/>
    <n v="22"/>
    <x v="1"/>
    <n v="293"/>
  </r>
  <r>
    <n v="193"/>
    <x v="192"/>
    <n v="40"/>
    <x v="5"/>
    <x v="1"/>
    <x v="1"/>
    <x v="0"/>
    <n v="7"/>
    <n v="27300"/>
    <d v="2023-05-06T00:00:00"/>
    <d v="2024-01-30T00:00:00"/>
    <n v="952"/>
    <n v="123"/>
    <x v="1"/>
    <n v="269"/>
  </r>
  <r>
    <n v="194"/>
    <x v="193"/>
    <n v="62"/>
    <x v="1"/>
    <x v="0"/>
    <x v="3"/>
    <x v="0"/>
    <n v="2"/>
    <n v="2800"/>
    <d v="2023-04-23T00:00:00"/>
    <d v="2024-04-05T00:00:00"/>
    <n v="126"/>
    <n v="57"/>
    <x v="1"/>
    <n v="348"/>
  </r>
  <r>
    <n v="195"/>
    <x v="194"/>
    <n v="48"/>
    <x v="2"/>
    <x v="1"/>
    <x v="3"/>
    <x v="0"/>
    <n v="9"/>
    <n v="42300"/>
    <d v="2022-02-26T00:00:00"/>
    <d v="2023-04-27T00:00:00"/>
    <n v="333"/>
    <n v="401"/>
    <x v="0"/>
    <n v="425"/>
  </r>
  <r>
    <n v="196"/>
    <x v="195"/>
    <n v="41"/>
    <x v="6"/>
    <x v="2"/>
    <x v="3"/>
    <x v="0"/>
    <n v="4"/>
    <n v="23200"/>
    <d v="2023-06-16T00:00:00"/>
    <d v="2024-09-16T00:00:00"/>
    <n v="192"/>
    <n v="-107"/>
    <x v="1"/>
    <n v="458"/>
  </r>
  <r>
    <n v="197"/>
    <x v="196"/>
    <n v="38"/>
    <x v="0"/>
    <x v="2"/>
    <x v="3"/>
    <x v="1"/>
    <n v="3"/>
    <n v="24300"/>
    <d v="2022-11-07T00:00:00"/>
    <d v="2023-09-17T00:00:00"/>
    <n v="192"/>
    <n v="258"/>
    <x v="0"/>
    <n v="314"/>
  </r>
  <r>
    <n v="198"/>
    <x v="197"/>
    <n v="63"/>
    <x v="0"/>
    <x v="1"/>
    <x v="3"/>
    <x v="0"/>
    <n v="10"/>
    <n v="40000"/>
    <d v="2022-12-12T00:00:00"/>
    <d v="2024-02-16T00:00:00"/>
    <n v="660"/>
    <n v="106"/>
    <x v="1"/>
    <n v="431"/>
  </r>
  <r>
    <n v="199"/>
    <x v="198"/>
    <n v="62"/>
    <x v="7"/>
    <x v="0"/>
    <x v="1"/>
    <x v="0"/>
    <n v="10"/>
    <n v="10000"/>
    <d v="2022-08-04T00:00:00"/>
    <d v="2023-08-31T00:00:00"/>
    <n v="1460"/>
    <n v="275"/>
    <x v="0"/>
    <n v="392"/>
  </r>
  <r>
    <n v="200"/>
    <x v="199"/>
    <n v="39"/>
    <x v="1"/>
    <x v="0"/>
    <x v="2"/>
    <x v="1"/>
    <n v="5"/>
    <n v="7500"/>
    <d v="2022-09-08T00:00:00"/>
    <d v="2023-10-25T00:00:00"/>
    <n v="175"/>
    <n v="220"/>
    <x v="0"/>
    <n v="412"/>
  </r>
  <r>
    <n v="201"/>
    <x v="200"/>
    <n v="31"/>
    <x v="3"/>
    <x v="3"/>
    <x v="1"/>
    <x v="0"/>
    <n v="8"/>
    <n v="148800"/>
    <d v="2023-05-11T00:00:00"/>
    <d v="2024-01-03T00:00:00"/>
    <n v="984"/>
    <n v="150"/>
    <x v="1"/>
    <n v="237"/>
  </r>
  <r>
    <n v="202"/>
    <x v="201"/>
    <n v="43"/>
    <x v="2"/>
    <x v="1"/>
    <x v="0"/>
    <x v="0"/>
    <n v="7"/>
    <n v="10500"/>
    <d v="2023-01-15T00:00:00"/>
    <d v="2023-10-05T00:00:00"/>
    <n v="4375"/>
    <n v="240"/>
    <x v="0"/>
    <n v="263"/>
  </r>
  <r>
    <n v="203"/>
    <x v="202"/>
    <n v="28"/>
    <x v="0"/>
    <x v="2"/>
    <x v="3"/>
    <x v="2"/>
    <n v="5"/>
    <n v="33500"/>
    <d v="2022-09-11T00:00:00"/>
    <d v="2022-11-22T00:00:00"/>
    <n v="180"/>
    <n v="557"/>
    <x v="0"/>
    <n v="72"/>
  </r>
  <r>
    <n v="204"/>
    <x v="203"/>
    <n v="47"/>
    <x v="7"/>
    <x v="2"/>
    <x v="2"/>
    <x v="1"/>
    <n v="4"/>
    <n v="17200"/>
    <d v="2022-12-02T00:00:00"/>
    <d v="2024-03-24T00:00:00"/>
    <n v="184"/>
    <n v="69"/>
    <x v="1"/>
    <n v="478"/>
  </r>
  <r>
    <n v="205"/>
    <x v="204"/>
    <n v="53"/>
    <x v="2"/>
    <x v="1"/>
    <x v="3"/>
    <x v="2"/>
    <n v="8"/>
    <n v="24000"/>
    <d v="2022-11-12T00:00:00"/>
    <d v="2023-07-24T00:00:00"/>
    <n v="248"/>
    <n v="313"/>
    <x v="0"/>
    <n v="254"/>
  </r>
  <r>
    <n v="206"/>
    <x v="205"/>
    <n v="34"/>
    <x v="0"/>
    <x v="3"/>
    <x v="2"/>
    <x v="0"/>
    <n v="10"/>
    <n v="166000"/>
    <d v="2022-02-19T00:00:00"/>
    <d v="2022-03-16T00:00:00"/>
    <n v="280"/>
    <n v="808"/>
    <x v="0"/>
    <n v="25"/>
  </r>
  <r>
    <n v="207"/>
    <x v="206"/>
    <n v="21"/>
    <x v="5"/>
    <x v="3"/>
    <x v="0"/>
    <x v="1"/>
    <n v="2"/>
    <n v="38200"/>
    <d v="2022-05-18T00:00:00"/>
    <d v="2023-08-12T00:00:00"/>
    <n v="1212"/>
    <n v="294"/>
    <x v="0"/>
    <n v="451"/>
  </r>
  <r>
    <n v="208"/>
    <x v="207"/>
    <n v="46"/>
    <x v="2"/>
    <x v="3"/>
    <x v="0"/>
    <x v="0"/>
    <n v="1"/>
    <n v="23700"/>
    <d v="2023-07-30T00:00:00"/>
    <d v="2023-11-06T00:00:00"/>
    <n v="613"/>
    <n v="208"/>
    <x v="0"/>
    <n v="99"/>
  </r>
  <r>
    <n v="209"/>
    <x v="208"/>
    <n v="49"/>
    <x v="3"/>
    <x v="0"/>
    <x v="2"/>
    <x v="1"/>
    <n v="9"/>
    <n v="9900"/>
    <d v="2022-05-02T00:00:00"/>
    <d v="2022-07-06T00:00:00"/>
    <n v="144"/>
    <n v="696"/>
    <x v="0"/>
    <n v="65"/>
  </r>
  <r>
    <n v="210"/>
    <x v="209"/>
    <n v="44"/>
    <x v="1"/>
    <x v="2"/>
    <x v="0"/>
    <x v="1"/>
    <n v="3"/>
    <n v="13800"/>
    <d v="2023-06-06T00:00:00"/>
    <d v="2023-12-28T00:00:00"/>
    <n v="1866"/>
    <n v="156"/>
    <x v="1"/>
    <n v="205"/>
  </r>
  <r>
    <n v="211"/>
    <x v="210"/>
    <n v="42"/>
    <x v="7"/>
    <x v="0"/>
    <x v="1"/>
    <x v="0"/>
    <n v="8"/>
    <n v="12800"/>
    <d v="2023-04-13T00:00:00"/>
    <d v="2023-06-28T00:00:00"/>
    <n v="1184"/>
    <n v="339"/>
    <x v="0"/>
    <n v="76"/>
  </r>
  <r>
    <n v="212"/>
    <x v="211"/>
    <n v="46"/>
    <x v="6"/>
    <x v="2"/>
    <x v="0"/>
    <x v="0"/>
    <n v="10"/>
    <n v="91000"/>
    <d v="2022-11-03T00:00:00"/>
    <d v="2023-09-02T00:00:00"/>
    <n v="6110"/>
    <n v="273"/>
    <x v="0"/>
    <n v="303"/>
  </r>
  <r>
    <n v="213"/>
    <x v="212"/>
    <n v="44"/>
    <x v="5"/>
    <x v="2"/>
    <x v="2"/>
    <x v="0"/>
    <n v="6"/>
    <n v="51000"/>
    <d v="2022-04-23T00:00:00"/>
    <d v="2022-11-22T00:00:00"/>
    <n v="282"/>
    <n v="557"/>
    <x v="0"/>
    <n v="213"/>
  </r>
  <r>
    <n v="214"/>
    <x v="213"/>
    <n v="62"/>
    <x v="3"/>
    <x v="0"/>
    <x v="2"/>
    <x v="0"/>
    <n v="10"/>
    <n v="17000"/>
    <d v="2022-08-22T00:00:00"/>
    <d v="2023-08-26T00:00:00"/>
    <n v="130"/>
    <n v="280"/>
    <x v="0"/>
    <n v="369"/>
  </r>
  <r>
    <n v="215"/>
    <x v="214"/>
    <n v="64"/>
    <x v="5"/>
    <x v="1"/>
    <x v="2"/>
    <x v="0"/>
    <n v="4"/>
    <n v="4400"/>
    <d v="2023-08-10T00:00:00"/>
    <d v="2024-12-07T00:00:00"/>
    <n v="68"/>
    <n v="-189"/>
    <x v="1"/>
    <n v="485"/>
  </r>
  <r>
    <n v="216"/>
    <x v="215"/>
    <n v="47"/>
    <x v="4"/>
    <x v="0"/>
    <x v="2"/>
    <x v="0"/>
    <n v="3"/>
    <n v="3900"/>
    <d v="2022-07-28T00:00:00"/>
    <d v="2023-02-23T00:00:00"/>
    <n v="126"/>
    <n v="464"/>
    <x v="0"/>
    <n v="210"/>
  </r>
  <r>
    <n v="217"/>
    <x v="216"/>
    <n v="34"/>
    <x v="5"/>
    <x v="0"/>
    <x v="3"/>
    <x v="1"/>
    <n v="9"/>
    <n v="10800"/>
    <d v="2023-05-05T00:00:00"/>
    <d v="2024-01-29T00:00:00"/>
    <n v="486"/>
    <n v="124"/>
    <x v="1"/>
    <n v="269"/>
  </r>
  <r>
    <n v="218"/>
    <x v="217"/>
    <n v="42"/>
    <x v="2"/>
    <x v="1"/>
    <x v="2"/>
    <x v="1"/>
    <n v="9"/>
    <n v="22500"/>
    <d v="2022-09-28T00:00:00"/>
    <d v="2023-08-06T00:00:00"/>
    <n v="360"/>
    <n v="300"/>
    <x v="0"/>
    <n v="312"/>
  </r>
  <r>
    <n v="219"/>
    <x v="218"/>
    <n v="40"/>
    <x v="4"/>
    <x v="1"/>
    <x v="0"/>
    <x v="1"/>
    <n v="4"/>
    <n v="19600"/>
    <d v="2022-11-01T00:00:00"/>
    <d v="2023-11-30T00:00:00"/>
    <n v="2432"/>
    <n v="184"/>
    <x v="0"/>
    <n v="394"/>
  </r>
  <r>
    <n v="220"/>
    <x v="219"/>
    <n v="43"/>
    <x v="4"/>
    <x v="3"/>
    <x v="0"/>
    <x v="2"/>
    <n v="9"/>
    <n v="126000"/>
    <d v="2022-10-22T00:00:00"/>
    <d v="2022-12-23T00:00:00"/>
    <n v="5634"/>
    <n v="526"/>
    <x v="0"/>
    <n v="62"/>
  </r>
  <r>
    <n v="221"/>
    <x v="220"/>
    <n v="39"/>
    <x v="1"/>
    <x v="3"/>
    <x v="0"/>
    <x v="0"/>
    <n v="1"/>
    <n v="14400"/>
    <d v="2022-03-22T00:00:00"/>
    <d v="2022-09-15T00:00:00"/>
    <n v="618"/>
    <n v="625"/>
    <x v="0"/>
    <n v="177"/>
  </r>
  <r>
    <n v="222"/>
    <x v="221"/>
    <n v="55"/>
    <x v="3"/>
    <x v="3"/>
    <x v="3"/>
    <x v="0"/>
    <n v="5"/>
    <n v="117000"/>
    <d v="2022-10-06T00:00:00"/>
    <d v="2022-12-15T00:00:00"/>
    <n v="180"/>
    <n v="534"/>
    <x v="0"/>
    <n v="70"/>
  </r>
  <r>
    <n v="223"/>
    <x v="222"/>
    <n v="35"/>
    <x v="4"/>
    <x v="1"/>
    <x v="1"/>
    <x v="1"/>
    <n v="4"/>
    <n v="4800"/>
    <d v="2022-04-13T00:00:00"/>
    <d v="2022-11-10T00:00:00"/>
    <n v="524"/>
    <n v="569"/>
    <x v="0"/>
    <n v="211"/>
  </r>
  <r>
    <n v="224"/>
    <x v="223"/>
    <n v="56"/>
    <x v="5"/>
    <x v="0"/>
    <x v="3"/>
    <x v="0"/>
    <n v="3"/>
    <n v="3900"/>
    <d v="2023-05-03T00:00:00"/>
    <d v="2024-01-02T00:00:00"/>
    <n v="126"/>
    <n v="151"/>
    <x v="1"/>
    <n v="244"/>
  </r>
  <r>
    <n v="225"/>
    <x v="224"/>
    <n v="26"/>
    <x v="3"/>
    <x v="2"/>
    <x v="0"/>
    <x v="0"/>
    <n v="10"/>
    <n v="49000"/>
    <d v="2023-07-02T00:00:00"/>
    <d v="2024-07-14T00:00:00"/>
    <n v="5920"/>
    <n v="-43"/>
    <x v="1"/>
    <n v="378"/>
  </r>
  <r>
    <n v="226"/>
    <x v="225"/>
    <n v="46"/>
    <x v="6"/>
    <x v="3"/>
    <x v="3"/>
    <x v="0"/>
    <n v="8"/>
    <n v="88800"/>
    <d v="2022-10-24T00:00:00"/>
    <d v="2024-01-15T00:00:00"/>
    <n v="256"/>
    <n v="138"/>
    <x v="1"/>
    <n v="448"/>
  </r>
  <r>
    <n v="227"/>
    <x v="226"/>
    <n v="39"/>
    <x v="7"/>
    <x v="2"/>
    <x v="1"/>
    <x v="0"/>
    <n v="8"/>
    <n v="66400"/>
    <d v="2023-07-11T00:00:00"/>
    <d v="2024-04-04T00:00:00"/>
    <n v="1128"/>
    <n v="58"/>
    <x v="1"/>
    <n v="268"/>
  </r>
  <r>
    <n v="228"/>
    <x v="227"/>
    <n v="28"/>
    <x v="6"/>
    <x v="3"/>
    <x v="0"/>
    <x v="0"/>
    <n v="6"/>
    <n v="61800"/>
    <d v="2023-04-15T00:00:00"/>
    <d v="2024-03-11T00:00:00"/>
    <n v="3636"/>
    <n v="82"/>
    <x v="1"/>
    <n v="331"/>
  </r>
  <r>
    <n v="229"/>
    <x v="228"/>
    <n v="57"/>
    <x v="6"/>
    <x v="0"/>
    <x v="0"/>
    <x v="0"/>
    <n v="4"/>
    <n v="3600"/>
    <d v="2023-02-20T00:00:00"/>
    <d v="2024-04-18T00:00:00"/>
    <n v="2468"/>
    <n v="44"/>
    <x v="1"/>
    <n v="423"/>
  </r>
  <r>
    <n v="230"/>
    <x v="229"/>
    <n v="32"/>
    <x v="2"/>
    <x v="0"/>
    <x v="2"/>
    <x v="0"/>
    <n v="3"/>
    <n v="4500"/>
    <d v="2022-11-28T00:00:00"/>
    <d v="2024-03-21T00:00:00"/>
    <n v="75"/>
    <n v="72"/>
    <x v="1"/>
    <n v="479"/>
  </r>
  <r>
    <n v="231"/>
    <x v="230"/>
    <n v="49"/>
    <x v="7"/>
    <x v="2"/>
    <x v="2"/>
    <x v="0"/>
    <n v="5"/>
    <n v="28500"/>
    <d v="2022-11-06T00:00:00"/>
    <d v="2023-08-31T00:00:00"/>
    <n v="230"/>
    <n v="275"/>
    <x v="0"/>
    <n v="298"/>
  </r>
  <r>
    <n v="232"/>
    <x v="231"/>
    <n v="24"/>
    <x v="7"/>
    <x v="2"/>
    <x v="0"/>
    <x v="0"/>
    <n v="2"/>
    <n v="13600"/>
    <d v="2022-11-11T00:00:00"/>
    <d v="2023-01-31T00:00:00"/>
    <n v="1230"/>
    <n v="487"/>
    <x v="0"/>
    <n v="81"/>
  </r>
  <r>
    <n v="233"/>
    <x v="232"/>
    <n v="60"/>
    <x v="3"/>
    <x v="0"/>
    <x v="0"/>
    <x v="0"/>
    <n v="4"/>
    <n v="3600"/>
    <d v="2022-05-17T00:00:00"/>
    <d v="2023-01-16T00:00:00"/>
    <n v="2396"/>
    <n v="502"/>
    <x v="0"/>
    <n v="244"/>
  </r>
  <r>
    <n v="234"/>
    <x v="233"/>
    <n v="51"/>
    <x v="5"/>
    <x v="2"/>
    <x v="2"/>
    <x v="1"/>
    <n v="9"/>
    <n v="86400"/>
    <d v="2022-08-12T00:00:00"/>
    <d v="2023-09-06T00:00:00"/>
    <n v="225"/>
    <n v="269"/>
    <x v="0"/>
    <n v="390"/>
  </r>
  <r>
    <n v="235"/>
    <x v="234"/>
    <n v="57"/>
    <x v="0"/>
    <x v="3"/>
    <x v="0"/>
    <x v="0"/>
    <n v="2"/>
    <n v="14000"/>
    <d v="2023-07-15T00:00:00"/>
    <d v="2024-10-19T00:00:00"/>
    <n v="1244"/>
    <n v="-140"/>
    <x v="1"/>
    <n v="462"/>
  </r>
  <r>
    <n v="236"/>
    <x v="235"/>
    <n v="54"/>
    <x v="4"/>
    <x v="1"/>
    <x v="3"/>
    <x v="0"/>
    <n v="8"/>
    <n v="12000"/>
    <d v="2022-07-30T00:00:00"/>
    <d v="2023-08-01T00:00:00"/>
    <n v="536"/>
    <n v="305"/>
    <x v="0"/>
    <n v="367"/>
  </r>
  <r>
    <n v="237"/>
    <x v="236"/>
    <n v="50"/>
    <x v="5"/>
    <x v="0"/>
    <x v="2"/>
    <x v="0"/>
    <n v="3"/>
    <n v="4800"/>
    <d v="2023-03-02T00:00:00"/>
    <d v="2023-10-21T00:00:00"/>
    <n v="138"/>
    <n v="224"/>
    <x v="0"/>
    <n v="233"/>
  </r>
  <r>
    <n v="238"/>
    <x v="237"/>
    <n v="46"/>
    <x v="7"/>
    <x v="3"/>
    <x v="0"/>
    <x v="0"/>
    <n v="5"/>
    <n v="25500"/>
    <d v="2022-08-12T00:00:00"/>
    <d v="2023-06-04T00:00:00"/>
    <n v="2970"/>
    <n v="363"/>
    <x v="0"/>
    <n v="296"/>
  </r>
  <r>
    <n v="239"/>
    <x v="238"/>
    <n v="55"/>
    <x v="7"/>
    <x v="3"/>
    <x v="0"/>
    <x v="0"/>
    <n v="1"/>
    <n v="7300"/>
    <d v="2023-04-29T00:00:00"/>
    <d v="2023-05-15T00:00:00"/>
    <n v="608"/>
    <n v="383"/>
    <x v="0"/>
    <n v="16"/>
  </r>
  <r>
    <n v="240"/>
    <x v="239"/>
    <n v="44"/>
    <x v="1"/>
    <x v="1"/>
    <x v="3"/>
    <x v="2"/>
    <n v="7"/>
    <n v="19600"/>
    <d v="2023-01-22T00:00:00"/>
    <d v="2023-08-02T00:00:00"/>
    <n v="245"/>
    <n v="304"/>
    <x v="0"/>
    <n v="192"/>
  </r>
  <r>
    <n v="241"/>
    <x v="240"/>
    <n v="55"/>
    <x v="6"/>
    <x v="2"/>
    <x v="1"/>
    <x v="0"/>
    <n v="7"/>
    <n v="51100"/>
    <d v="2022-05-11T00:00:00"/>
    <d v="2023-05-18T00:00:00"/>
    <n v="868"/>
    <n v="380"/>
    <x v="0"/>
    <n v="372"/>
  </r>
  <r>
    <n v="242"/>
    <x v="241"/>
    <n v="64"/>
    <x v="7"/>
    <x v="0"/>
    <x v="0"/>
    <x v="2"/>
    <n v="9"/>
    <n v="12600"/>
    <d v="2023-06-29T00:00:00"/>
    <d v="2024-01-09T00:00:00"/>
    <n v="5436"/>
    <n v="144"/>
    <x v="1"/>
    <n v="194"/>
  </r>
  <r>
    <n v="243"/>
    <x v="242"/>
    <n v="38"/>
    <x v="4"/>
    <x v="3"/>
    <x v="0"/>
    <x v="0"/>
    <n v="4"/>
    <n v="34800"/>
    <d v="2022-02-02T00:00:00"/>
    <d v="2023-03-23T00:00:00"/>
    <n v="2464"/>
    <n v="436"/>
    <x v="0"/>
    <n v="414"/>
  </r>
  <r>
    <n v="244"/>
    <x v="243"/>
    <n v="27"/>
    <x v="7"/>
    <x v="1"/>
    <x v="3"/>
    <x v="0"/>
    <n v="10"/>
    <n v="11000"/>
    <d v="2023-04-03T00:00:00"/>
    <d v="2024-02-03T00:00:00"/>
    <n v="330"/>
    <n v="119"/>
    <x v="1"/>
    <n v="306"/>
  </r>
  <r>
    <n v="245"/>
    <x v="244"/>
    <n v="35"/>
    <x v="4"/>
    <x v="0"/>
    <x v="2"/>
    <x v="2"/>
    <n v="9"/>
    <n v="8100"/>
    <d v="2022-02-27T00:00:00"/>
    <d v="2022-05-09T00:00:00"/>
    <n v="378"/>
    <n v="754"/>
    <x v="0"/>
    <n v="71"/>
  </r>
  <r>
    <n v="246"/>
    <x v="245"/>
    <n v="59"/>
    <x v="3"/>
    <x v="1"/>
    <x v="0"/>
    <x v="1"/>
    <n v="6"/>
    <n v="12000"/>
    <d v="2022-11-06T00:00:00"/>
    <d v="2024-01-28T00:00:00"/>
    <n v="3594"/>
    <n v="125"/>
    <x v="1"/>
    <n v="448"/>
  </r>
  <r>
    <n v="247"/>
    <x v="246"/>
    <n v="24"/>
    <x v="4"/>
    <x v="3"/>
    <x v="0"/>
    <x v="0"/>
    <n v="9"/>
    <n v="219600"/>
    <d v="2022-06-29T00:00:00"/>
    <d v="2023-05-15T00:00:00"/>
    <n v="5553"/>
    <n v="383"/>
    <x v="0"/>
    <n v="320"/>
  </r>
  <r>
    <n v="248"/>
    <x v="247"/>
    <n v="54"/>
    <x v="5"/>
    <x v="0"/>
    <x v="0"/>
    <x v="2"/>
    <n v="6"/>
    <n v="11400"/>
    <d v="2023-03-03T00:00:00"/>
    <d v="2023-09-28T00:00:00"/>
    <n v="3594"/>
    <n v="247"/>
    <x v="0"/>
    <n v="209"/>
  </r>
  <r>
    <n v="249"/>
    <x v="248"/>
    <n v="51"/>
    <x v="3"/>
    <x v="3"/>
    <x v="3"/>
    <x v="1"/>
    <n v="4"/>
    <n v="49600"/>
    <d v="2022-11-04T00:00:00"/>
    <d v="2024-01-17T00:00:00"/>
    <n v="156"/>
    <n v="136"/>
    <x v="1"/>
    <n v="439"/>
  </r>
  <r>
    <n v="250"/>
    <x v="249"/>
    <n v="56"/>
    <x v="5"/>
    <x v="0"/>
    <x v="2"/>
    <x v="2"/>
    <n v="9"/>
    <n v="7200"/>
    <d v="2023-02-02T00:00:00"/>
    <d v="2023-06-06T00:00:00"/>
    <n v="234"/>
    <n v="361"/>
    <x v="0"/>
    <n v="124"/>
  </r>
  <r>
    <n v="251"/>
    <x v="250"/>
    <n v="44"/>
    <x v="4"/>
    <x v="2"/>
    <x v="1"/>
    <x v="2"/>
    <n v="2"/>
    <n v="14800"/>
    <d v="2022-07-15T00:00:00"/>
    <d v="2022-08-10T00:00:00"/>
    <n v="254"/>
    <n v="661"/>
    <x v="0"/>
    <n v="26"/>
  </r>
  <r>
    <n v="252"/>
    <x v="251"/>
    <n v="58"/>
    <x v="1"/>
    <x v="0"/>
    <x v="1"/>
    <x v="0"/>
    <n v="9"/>
    <n v="8100"/>
    <d v="2023-05-06T00:00:00"/>
    <d v="2023-08-20T00:00:00"/>
    <n v="1179"/>
    <n v="286"/>
    <x v="0"/>
    <n v="106"/>
  </r>
  <r>
    <n v="253"/>
    <x v="252"/>
    <n v="28"/>
    <x v="3"/>
    <x v="0"/>
    <x v="3"/>
    <x v="0"/>
    <n v="8"/>
    <n v="8000"/>
    <d v="2022-07-29T00:00:00"/>
    <d v="2023-02-17T00:00:00"/>
    <n v="360"/>
    <n v="470"/>
    <x v="0"/>
    <n v="203"/>
  </r>
  <r>
    <n v="254"/>
    <x v="253"/>
    <n v="55"/>
    <x v="2"/>
    <x v="2"/>
    <x v="2"/>
    <x v="2"/>
    <n v="6"/>
    <n v="33000"/>
    <d v="2022-09-25T00:00:00"/>
    <d v="2023-03-28T00:00:00"/>
    <n v="252"/>
    <n v="431"/>
    <x v="0"/>
    <n v="184"/>
  </r>
  <r>
    <n v="255"/>
    <x v="254"/>
    <n v="41"/>
    <x v="5"/>
    <x v="3"/>
    <x v="1"/>
    <x v="2"/>
    <n v="4"/>
    <n v="68400"/>
    <d v="2022-11-17T00:00:00"/>
    <d v="2023-06-16T00:00:00"/>
    <n v="448"/>
    <n v="351"/>
    <x v="0"/>
    <n v="211"/>
  </r>
  <r>
    <n v="256"/>
    <x v="255"/>
    <n v="56"/>
    <x v="4"/>
    <x v="1"/>
    <x v="1"/>
    <x v="0"/>
    <n v="10"/>
    <n v="34000"/>
    <d v="2023-03-04T00:00:00"/>
    <d v="2023-08-02T00:00:00"/>
    <n v="1190"/>
    <n v="304"/>
    <x v="0"/>
    <n v="151"/>
  </r>
  <r>
    <n v="257"/>
    <x v="256"/>
    <n v="57"/>
    <x v="4"/>
    <x v="2"/>
    <x v="3"/>
    <x v="2"/>
    <n v="4"/>
    <n v="28400"/>
    <d v="2023-07-18T00:00:00"/>
    <d v="2024-06-17T00:00:00"/>
    <n v="204"/>
    <n v="-16"/>
    <x v="1"/>
    <n v="335"/>
  </r>
  <r>
    <n v="258"/>
    <x v="257"/>
    <n v="31"/>
    <x v="3"/>
    <x v="3"/>
    <x v="2"/>
    <x v="2"/>
    <n v="6"/>
    <n v="63000"/>
    <d v="2022-05-24T00:00:00"/>
    <d v="2023-05-27T00:00:00"/>
    <n v="264"/>
    <n v="371"/>
    <x v="0"/>
    <n v="368"/>
  </r>
  <r>
    <n v="259"/>
    <x v="258"/>
    <n v="23"/>
    <x v="5"/>
    <x v="1"/>
    <x v="1"/>
    <x v="1"/>
    <n v="2"/>
    <n v="9800"/>
    <d v="2022-02-19T00:00:00"/>
    <d v="2023-03-17T00:00:00"/>
    <n v="220"/>
    <n v="442"/>
    <x v="0"/>
    <n v="391"/>
  </r>
  <r>
    <n v="260"/>
    <x v="259"/>
    <n v="30"/>
    <x v="1"/>
    <x v="1"/>
    <x v="3"/>
    <x v="0"/>
    <n v="1"/>
    <n v="1900"/>
    <d v="2023-06-02T00:00:00"/>
    <d v="2024-01-21T00:00:00"/>
    <n v="53"/>
    <n v="132"/>
    <x v="1"/>
    <n v="233"/>
  </r>
  <r>
    <n v="261"/>
    <x v="260"/>
    <n v="21"/>
    <x v="7"/>
    <x v="3"/>
    <x v="2"/>
    <x v="0"/>
    <n v="9"/>
    <n v="207900"/>
    <d v="2023-02-26T00:00:00"/>
    <d v="2023-03-04T00:00:00"/>
    <n v="99"/>
    <n v="455"/>
    <x v="0"/>
    <n v="6"/>
  </r>
  <r>
    <n v="262"/>
    <x v="261"/>
    <n v="65"/>
    <x v="3"/>
    <x v="2"/>
    <x v="1"/>
    <x v="1"/>
    <n v="7"/>
    <n v="67200"/>
    <d v="2022-07-03T00:00:00"/>
    <d v="2022-08-26T00:00:00"/>
    <n v="812"/>
    <n v="645"/>
    <x v="0"/>
    <n v="54"/>
  </r>
  <r>
    <n v="263"/>
    <x v="262"/>
    <n v="54"/>
    <x v="6"/>
    <x v="1"/>
    <x v="3"/>
    <x v="1"/>
    <n v="5"/>
    <n v="21500"/>
    <d v="2022-12-29T00:00:00"/>
    <d v="2023-05-14T00:00:00"/>
    <n v="275"/>
    <n v="384"/>
    <x v="0"/>
    <n v="136"/>
  </r>
  <r>
    <n v="264"/>
    <x v="263"/>
    <n v="57"/>
    <x v="0"/>
    <x v="2"/>
    <x v="2"/>
    <x v="2"/>
    <n v="4"/>
    <n v="34800"/>
    <d v="2022-08-20T00:00:00"/>
    <d v="2023-01-20T00:00:00"/>
    <n v="60"/>
    <n v="498"/>
    <x v="0"/>
    <n v="153"/>
  </r>
  <r>
    <n v="265"/>
    <x v="264"/>
    <n v="45"/>
    <x v="7"/>
    <x v="0"/>
    <x v="2"/>
    <x v="2"/>
    <n v="9"/>
    <n v="13500"/>
    <d v="2022-02-27T00:00:00"/>
    <d v="2023-01-19T00:00:00"/>
    <n v="90"/>
    <n v="499"/>
    <x v="0"/>
    <n v="326"/>
  </r>
  <r>
    <n v="266"/>
    <x v="265"/>
    <n v="62"/>
    <x v="6"/>
    <x v="0"/>
    <x v="2"/>
    <x v="2"/>
    <n v="6"/>
    <n v="10200"/>
    <d v="2022-04-08T00:00:00"/>
    <d v="2023-07-10T00:00:00"/>
    <n v="258"/>
    <n v="327"/>
    <x v="0"/>
    <n v="458"/>
  </r>
  <r>
    <n v="267"/>
    <x v="266"/>
    <n v="51"/>
    <x v="7"/>
    <x v="1"/>
    <x v="3"/>
    <x v="1"/>
    <n v="5"/>
    <n v="6000"/>
    <d v="2022-03-18T00:00:00"/>
    <d v="2023-03-03T00:00:00"/>
    <n v="235"/>
    <n v="456"/>
    <x v="0"/>
    <n v="350"/>
  </r>
  <r>
    <n v="268"/>
    <x v="267"/>
    <n v="34"/>
    <x v="7"/>
    <x v="1"/>
    <x v="0"/>
    <x v="0"/>
    <n v="10"/>
    <n v="16000"/>
    <d v="2023-02-12T00:00:00"/>
    <d v="2024-06-01T00:00:00"/>
    <n v="5940"/>
    <n v="0"/>
    <x v="1"/>
    <n v="475"/>
  </r>
  <r>
    <n v="269"/>
    <x v="268"/>
    <n v="45"/>
    <x v="3"/>
    <x v="1"/>
    <x v="3"/>
    <x v="1"/>
    <n v="9"/>
    <n v="21600"/>
    <d v="2023-01-29T00:00:00"/>
    <d v="2024-02-19T00:00:00"/>
    <n v="342"/>
    <n v="103"/>
    <x v="1"/>
    <n v="386"/>
  </r>
  <r>
    <n v="270"/>
    <x v="269"/>
    <n v="48"/>
    <x v="0"/>
    <x v="2"/>
    <x v="1"/>
    <x v="0"/>
    <n v="4"/>
    <n v="39600"/>
    <d v="2022-03-19T00:00:00"/>
    <d v="2022-09-09T00:00:00"/>
    <n v="592"/>
    <n v="631"/>
    <x v="0"/>
    <n v="174"/>
  </r>
  <r>
    <n v="271"/>
    <x v="270"/>
    <n v="49"/>
    <x v="1"/>
    <x v="2"/>
    <x v="1"/>
    <x v="0"/>
    <n v="8"/>
    <n v="39200"/>
    <d v="2022-12-31T00:00:00"/>
    <d v="2023-10-10T00:00:00"/>
    <n v="1072"/>
    <n v="235"/>
    <x v="0"/>
    <n v="283"/>
  </r>
  <r>
    <n v="272"/>
    <x v="271"/>
    <n v="60"/>
    <x v="1"/>
    <x v="1"/>
    <x v="2"/>
    <x v="0"/>
    <n v="5"/>
    <n v="21500"/>
    <d v="2022-09-10T00:00:00"/>
    <d v="2023-09-10T00:00:00"/>
    <n v="70"/>
    <n v="265"/>
    <x v="0"/>
    <n v="365"/>
  </r>
  <r>
    <n v="273"/>
    <x v="272"/>
    <n v="61"/>
    <x v="0"/>
    <x v="2"/>
    <x v="3"/>
    <x v="2"/>
    <n v="3"/>
    <n v="27300"/>
    <d v="2023-02-03T00:00:00"/>
    <d v="2023-07-15T00:00:00"/>
    <n v="159"/>
    <n v="322"/>
    <x v="0"/>
    <n v="162"/>
  </r>
  <r>
    <n v="274"/>
    <x v="273"/>
    <n v="49"/>
    <x v="0"/>
    <x v="0"/>
    <x v="1"/>
    <x v="0"/>
    <n v="6"/>
    <n v="6600"/>
    <d v="2022-04-15T00:00:00"/>
    <d v="2022-06-21T00:00:00"/>
    <n v="690"/>
    <n v="711"/>
    <x v="0"/>
    <n v="67"/>
  </r>
  <r>
    <n v="275"/>
    <x v="274"/>
    <n v="56"/>
    <x v="6"/>
    <x v="3"/>
    <x v="2"/>
    <x v="1"/>
    <n v="9"/>
    <n v="165600"/>
    <d v="2022-04-16T00:00:00"/>
    <d v="2022-04-29T00:00:00"/>
    <n v="135"/>
    <n v="764"/>
    <x v="0"/>
    <n v="13"/>
  </r>
  <r>
    <n v="276"/>
    <x v="275"/>
    <n v="21"/>
    <x v="2"/>
    <x v="0"/>
    <x v="0"/>
    <x v="2"/>
    <n v="5"/>
    <n v="6500"/>
    <d v="2023-02-02T00:00:00"/>
    <d v="2024-03-06T00:00:00"/>
    <n v="2975"/>
    <n v="87"/>
    <x v="1"/>
    <n v="398"/>
  </r>
  <r>
    <n v="277"/>
    <x v="276"/>
    <n v="29"/>
    <x v="4"/>
    <x v="1"/>
    <x v="2"/>
    <x v="0"/>
    <n v="5"/>
    <n v="11000"/>
    <d v="2022-10-02T00:00:00"/>
    <d v="2023-06-11T00:00:00"/>
    <n v="95"/>
    <n v="356"/>
    <x v="0"/>
    <n v="252"/>
  </r>
  <r>
    <n v="278"/>
    <x v="277"/>
    <n v="47"/>
    <x v="0"/>
    <x v="1"/>
    <x v="2"/>
    <x v="0"/>
    <n v="5"/>
    <n v="15000"/>
    <d v="2022-03-20T00:00:00"/>
    <d v="2022-09-20T00:00:00"/>
    <n v="130"/>
    <n v="620"/>
    <x v="0"/>
    <n v="184"/>
  </r>
  <r>
    <n v="279"/>
    <x v="278"/>
    <n v="27"/>
    <x v="4"/>
    <x v="3"/>
    <x v="3"/>
    <x v="2"/>
    <n v="3"/>
    <n v="45000"/>
    <d v="2022-01-07T00:00:00"/>
    <d v="2023-05-07T00:00:00"/>
    <n v="165"/>
    <n v="391"/>
    <x v="0"/>
    <n v="485"/>
  </r>
  <r>
    <n v="280"/>
    <x v="279"/>
    <n v="42"/>
    <x v="2"/>
    <x v="3"/>
    <x v="0"/>
    <x v="2"/>
    <n v="7"/>
    <n v="171500"/>
    <d v="2022-05-20T00:00:00"/>
    <d v="2022-10-20T00:00:00"/>
    <n v="4270"/>
    <n v="590"/>
    <x v="0"/>
    <n v="153"/>
  </r>
  <r>
    <n v="281"/>
    <x v="280"/>
    <n v="46"/>
    <x v="4"/>
    <x v="3"/>
    <x v="0"/>
    <x v="0"/>
    <n v="6"/>
    <n v="87600"/>
    <d v="2023-05-18T00:00:00"/>
    <d v="2024-09-24T00:00:00"/>
    <n v="3756"/>
    <n v="-115"/>
    <x v="1"/>
    <n v="495"/>
  </r>
  <r>
    <n v="282"/>
    <x v="281"/>
    <n v="46"/>
    <x v="4"/>
    <x v="2"/>
    <x v="2"/>
    <x v="0"/>
    <n v="6"/>
    <n v="23400"/>
    <d v="2023-08-01T00:00:00"/>
    <d v="2023-11-11T00:00:00"/>
    <n v="282"/>
    <n v="203"/>
    <x v="0"/>
    <n v="102"/>
  </r>
  <r>
    <n v="283"/>
    <x v="282"/>
    <n v="49"/>
    <x v="6"/>
    <x v="0"/>
    <x v="2"/>
    <x v="0"/>
    <n v="5"/>
    <n v="9500"/>
    <d v="2022-03-12T00:00:00"/>
    <d v="2023-05-05T00:00:00"/>
    <n v="180"/>
    <n v="393"/>
    <x v="0"/>
    <n v="419"/>
  </r>
  <r>
    <n v="284"/>
    <x v="283"/>
    <n v="37"/>
    <x v="5"/>
    <x v="1"/>
    <x v="0"/>
    <x v="0"/>
    <n v="3"/>
    <n v="11700"/>
    <d v="2023-03-10T00:00:00"/>
    <d v="2024-04-17T00:00:00"/>
    <n v="1842"/>
    <n v="45"/>
    <x v="1"/>
    <n v="404"/>
  </r>
  <r>
    <n v="285"/>
    <x v="284"/>
    <n v="46"/>
    <x v="0"/>
    <x v="3"/>
    <x v="2"/>
    <x v="1"/>
    <n v="9"/>
    <n v="194400"/>
    <d v="2023-03-05T00:00:00"/>
    <d v="2023-12-08T00:00:00"/>
    <n v="108"/>
    <n v="176"/>
    <x v="1"/>
    <n v="278"/>
  </r>
  <r>
    <n v="286"/>
    <x v="285"/>
    <n v="63"/>
    <x v="2"/>
    <x v="0"/>
    <x v="1"/>
    <x v="0"/>
    <n v="6"/>
    <n v="4800"/>
    <d v="2022-02-15T00:00:00"/>
    <d v="2022-11-30T00:00:00"/>
    <n v="810"/>
    <n v="549"/>
    <x v="0"/>
    <n v="288"/>
  </r>
  <r>
    <n v="287"/>
    <x v="286"/>
    <n v="27"/>
    <x v="2"/>
    <x v="3"/>
    <x v="1"/>
    <x v="0"/>
    <n v="5"/>
    <n v="61500"/>
    <d v="2023-06-07T00:00:00"/>
    <d v="2024-06-23T00:00:00"/>
    <n v="715"/>
    <n v="-22"/>
    <x v="1"/>
    <n v="382"/>
  </r>
  <r>
    <n v="288"/>
    <x v="287"/>
    <n v="50"/>
    <x v="4"/>
    <x v="3"/>
    <x v="0"/>
    <x v="2"/>
    <n v="10"/>
    <n v="214000"/>
    <d v="2022-06-04T00:00:00"/>
    <d v="2022-11-27T00:00:00"/>
    <n v="5910"/>
    <n v="552"/>
    <x v="0"/>
    <n v="176"/>
  </r>
  <r>
    <n v="289"/>
    <x v="288"/>
    <n v="26"/>
    <x v="5"/>
    <x v="0"/>
    <x v="0"/>
    <x v="2"/>
    <n v="2"/>
    <n v="4000"/>
    <d v="2022-05-26T00:00:00"/>
    <d v="2022-11-20T00:00:00"/>
    <n v="1218"/>
    <n v="559"/>
    <x v="0"/>
    <n v="178"/>
  </r>
  <r>
    <n v="290"/>
    <x v="289"/>
    <n v="51"/>
    <x v="2"/>
    <x v="3"/>
    <x v="3"/>
    <x v="1"/>
    <n v="6"/>
    <n v="123600"/>
    <d v="2022-04-10T00:00:00"/>
    <d v="2022-11-20T00:00:00"/>
    <n v="348"/>
    <n v="559"/>
    <x v="0"/>
    <n v="224"/>
  </r>
  <r>
    <n v="291"/>
    <x v="290"/>
    <n v="28"/>
    <x v="2"/>
    <x v="0"/>
    <x v="0"/>
    <x v="0"/>
    <n v="1"/>
    <n v="1200"/>
    <d v="2022-04-22T00:00:00"/>
    <d v="2023-04-03T00:00:00"/>
    <n v="600"/>
    <n v="425"/>
    <x v="0"/>
    <n v="346"/>
  </r>
  <r>
    <n v="292"/>
    <x v="291"/>
    <n v="56"/>
    <x v="4"/>
    <x v="1"/>
    <x v="3"/>
    <x v="0"/>
    <n v="7"/>
    <n v="34300"/>
    <d v="2023-04-19T00:00:00"/>
    <d v="2023-08-15T00:00:00"/>
    <n v="385"/>
    <n v="291"/>
    <x v="0"/>
    <n v="118"/>
  </r>
  <r>
    <n v="293"/>
    <x v="292"/>
    <n v="22"/>
    <x v="6"/>
    <x v="1"/>
    <x v="2"/>
    <x v="2"/>
    <n v="10"/>
    <n v="46000"/>
    <d v="2022-07-22T00:00:00"/>
    <d v="2023-03-09T00:00:00"/>
    <n v="470"/>
    <n v="450"/>
    <x v="0"/>
    <n v="230"/>
  </r>
  <r>
    <n v="294"/>
    <x v="293"/>
    <n v="34"/>
    <x v="1"/>
    <x v="3"/>
    <x v="1"/>
    <x v="0"/>
    <n v="5"/>
    <n v="35000"/>
    <d v="2023-08-15T00:00:00"/>
    <d v="2023-10-06T00:00:00"/>
    <n v="720"/>
    <n v="239"/>
    <x v="0"/>
    <n v="52"/>
  </r>
  <r>
    <n v="295"/>
    <x v="294"/>
    <n v="50"/>
    <x v="6"/>
    <x v="2"/>
    <x v="0"/>
    <x v="0"/>
    <n v="2"/>
    <n v="10200"/>
    <d v="2023-05-17T00:00:00"/>
    <d v="2024-02-11T00:00:00"/>
    <n v="1260"/>
    <n v="111"/>
    <x v="1"/>
    <n v="270"/>
  </r>
  <r>
    <n v="296"/>
    <x v="295"/>
    <n v="28"/>
    <x v="2"/>
    <x v="3"/>
    <x v="2"/>
    <x v="1"/>
    <n v="6"/>
    <n v="99000"/>
    <d v="2023-04-14T00:00:00"/>
    <d v="2024-02-24T00:00:00"/>
    <n v="126"/>
    <n v="98"/>
    <x v="1"/>
    <n v="316"/>
  </r>
  <r>
    <n v="297"/>
    <x v="296"/>
    <n v="28"/>
    <x v="3"/>
    <x v="0"/>
    <x v="3"/>
    <x v="0"/>
    <n v="4"/>
    <n v="4400"/>
    <d v="2022-04-30T00:00:00"/>
    <d v="2022-08-01T00:00:00"/>
    <n v="212"/>
    <n v="670"/>
    <x v="0"/>
    <n v="93"/>
  </r>
  <r>
    <n v="298"/>
    <x v="297"/>
    <n v="29"/>
    <x v="6"/>
    <x v="3"/>
    <x v="2"/>
    <x v="1"/>
    <n v="10"/>
    <n v="176000"/>
    <d v="2023-03-10T00:00:00"/>
    <d v="2023-06-13T00:00:00"/>
    <n v="410"/>
    <n v="354"/>
    <x v="0"/>
    <n v="95"/>
  </r>
  <r>
    <n v="299"/>
    <x v="298"/>
    <n v="29"/>
    <x v="6"/>
    <x v="1"/>
    <x v="2"/>
    <x v="0"/>
    <n v="3"/>
    <n v="6900"/>
    <d v="2023-04-07T00:00:00"/>
    <d v="2024-02-18T00:00:00"/>
    <n v="39"/>
    <n v="104"/>
    <x v="1"/>
    <n v="317"/>
  </r>
  <r>
    <n v="300"/>
    <x v="299"/>
    <n v="33"/>
    <x v="2"/>
    <x v="0"/>
    <x v="2"/>
    <x v="0"/>
    <n v="7"/>
    <n v="11200"/>
    <d v="2023-06-02T00:00:00"/>
    <d v="2024-05-01T00:00:00"/>
    <n v="287"/>
    <n v="31"/>
    <x v="1"/>
    <n v="334"/>
  </r>
  <r>
    <n v="301"/>
    <x v="300"/>
    <n v="52"/>
    <x v="1"/>
    <x v="3"/>
    <x v="2"/>
    <x v="2"/>
    <n v="3"/>
    <n v="23100"/>
    <d v="2023-08-02T00:00:00"/>
    <d v="2023-08-17T00:00:00"/>
    <n v="72"/>
    <n v="289"/>
    <x v="0"/>
    <n v="15"/>
  </r>
  <r>
    <n v="302"/>
    <x v="301"/>
    <n v="55"/>
    <x v="3"/>
    <x v="0"/>
    <x v="0"/>
    <x v="0"/>
    <n v="5"/>
    <n v="4000"/>
    <d v="2023-04-14T00:00:00"/>
    <d v="2024-01-28T00:00:00"/>
    <n v="3105"/>
    <n v="125"/>
    <x v="1"/>
    <n v="289"/>
  </r>
  <r>
    <n v="303"/>
    <x v="302"/>
    <n v="44"/>
    <x v="0"/>
    <x v="0"/>
    <x v="0"/>
    <x v="1"/>
    <n v="9"/>
    <n v="5400"/>
    <d v="2023-03-28T00:00:00"/>
    <d v="2024-01-01T00:00:00"/>
    <n v="5427"/>
    <n v="152"/>
    <x v="1"/>
    <n v="279"/>
  </r>
  <r>
    <n v="304"/>
    <x v="303"/>
    <n v="23"/>
    <x v="1"/>
    <x v="0"/>
    <x v="3"/>
    <x v="0"/>
    <n v="8"/>
    <n v="8000"/>
    <d v="2022-12-23T00:00:00"/>
    <d v="2024-03-08T00:00:00"/>
    <n v="280"/>
    <n v="85"/>
    <x v="1"/>
    <n v="441"/>
  </r>
  <r>
    <n v="305"/>
    <x v="304"/>
    <n v="58"/>
    <x v="5"/>
    <x v="0"/>
    <x v="3"/>
    <x v="0"/>
    <n v="6"/>
    <n v="12000"/>
    <d v="2023-03-15T00:00:00"/>
    <d v="2023-06-07T00:00:00"/>
    <n v="414"/>
    <n v="360"/>
    <x v="0"/>
    <n v="84"/>
  </r>
  <r>
    <n v="306"/>
    <x v="305"/>
    <n v="57"/>
    <x v="6"/>
    <x v="1"/>
    <x v="3"/>
    <x v="0"/>
    <n v="6"/>
    <n v="19200"/>
    <d v="2022-10-15T00:00:00"/>
    <d v="2023-08-16T00:00:00"/>
    <n v="384"/>
    <n v="290"/>
    <x v="0"/>
    <n v="305"/>
  </r>
  <r>
    <n v="307"/>
    <x v="306"/>
    <n v="57"/>
    <x v="6"/>
    <x v="2"/>
    <x v="0"/>
    <x v="0"/>
    <n v="5"/>
    <n v="36000"/>
    <d v="2022-04-08T00:00:00"/>
    <d v="2022-06-16T00:00:00"/>
    <n v="3080"/>
    <n v="716"/>
    <x v="0"/>
    <n v="69"/>
  </r>
  <r>
    <n v="308"/>
    <x v="307"/>
    <n v="36"/>
    <x v="7"/>
    <x v="2"/>
    <x v="3"/>
    <x v="0"/>
    <n v="3"/>
    <n v="26400"/>
    <d v="2022-11-26T00:00:00"/>
    <d v="2024-01-24T00:00:00"/>
    <n v="135"/>
    <n v="129"/>
    <x v="1"/>
    <n v="424"/>
  </r>
  <r>
    <n v="309"/>
    <x v="308"/>
    <n v="61"/>
    <x v="1"/>
    <x v="3"/>
    <x v="3"/>
    <x v="1"/>
    <n v="5"/>
    <n v="93000"/>
    <d v="2023-01-20T00:00:00"/>
    <d v="2023-09-08T00:00:00"/>
    <n v="170"/>
    <n v="267"/>
    <x v="0"/>
    <n v="231"/>
  </r>
  <r>
    <n v="310"/>
    <x v="309"/>
    <n v="50"/>
    <x v="0"/>
    <x v="3"/>
    <x v="0"/>
    <x v="0"/>
    <n v="8"/>
    <n v="125600"/>
    <d v="2023-08-19T00:00:00"/>
    <d v="2023-08-20T00:00:00"/>
    <n v="4760"/>
    <n v="286"/>
    <x v="0"/>
    <n v="1"/>
  </r>
  <r>
    <n v="311"/>
    <x v="310"/>
    <n v="46"/>
    <x v="5"/>
    <x v="2"/>
    <x v="1"/>
    <x v="1"/>
    <n v="4"/>
    <n v="26000"/>
    <d v="2022-08-05T00:00:00"/>
    <d v="2023-04-15T00:00:00"/>
    <n v="508"/>
    <n v="413"/>
    <x v="0"/>
    <n v="253"/>
  </r>
  <r>
    <n v="312"/>
    <x v="311"/>
    <n v="57"/>
    <x v="2"/>
    <x v="2"/>
    <x v="0"/>
    <x v="1"/>
    <n v="3"/>
    <n v="22800"/>
    <d v="2023-05-12T00:00:00"/>
    <d v="2024-06-18T00:00:00"/>
    <n v="1833"/>
    <n v="-17"/>
    <x v="1"/>
    <n v="403"/>
  </r>
  <r>
    <n v="313"/>
    <x v="312"/>
    <n v="22"/>
    <x v="7"/>
    <x v="0"/>
    <x v="1"/>
    <x v="2"/>
    <n v="2"/>
    <n v="1600"/>
    <d v="2023-03-28T00:00:00"/>
    <d v="2023-11-16T00:00:00"/>
    <n v="220"/>
    <n v="198"/>
    <x v="0"/>
    <n v="233"/>
  </r>
  <r>
    <n v="314"/>
    <x v="313"/>
    <n v="31"/>
    <x v="1"/>
    <x v="1"/>
    <x v="3"/>
    <x v="0"/>
    <n v="5"/>
    <n v="7000"/>
    <d v="2023-01-05T00:00:00"/>
    <d v="2023-05-13T00:00:00"/>
    <n v="175"/>
    <n v="385"/>
    <x v="0"/>
    <n v="128"/>
  </r>
  <r>
    <n v="315"/>
    <x v="314"/>
    <n v="61"/>
    <x v="2"/>
    <x v="1"/>
    <x v="1"/>
    <x v="2"/>
    <n v="5"/>
    <n v="20000"/>
    <d v="2022-08-28T00:00:00"/>
    <d v="2023-04-04T00:00:00"/>
    <n v="575"/>
    <n v="424"/>
    <x v="0"/>
    <n v="219"/>
  </r>
  <r>
    <n v="316"/>
    <x v="315"/>
    <n v="25"/>
    <x v="0"/>
    <x v="0"/>
    <x v="3"/>
    <x v="2"/>
    <n v="3"/>
    <n v="5100"/>
    <d v="2022-08-20T00:00:00"/>
    <d v="2023-05-12T00:00:00"/>
    <n v="174"/>
    <n v="386"/>
    <x v="0"/>
    <n v="265"/>
  </r>
  <r>
    <n v="317"/>
    <x v="316"/>
    <n v="48"/>
    <x v="7"/>
    <x v="0"/>
    <x v="0"/>
    <x v="0"/>
    <n v="3"/>
    <n v="4500"/>
    <d v="2022-03-14T00:00:00"/>
    <d v="2022-07-09T00:00:00"/>
    <n v="1842"/>
    <n v="693"/>
    <x v="0"/>
    <n v="117"/>
  </r>
  <r>
    <n v="318"/>
    <x v="317"/>
    <n v="44"/>
    <x v="0"/>
    <x v="0"/>
    <x v="1"/>
    <x v="0"/>
    <n v="5"/>
    <n v="4000"/>
    <d v="2023-01-27T00:00:00"/>
    <d v="2024-02-27T00:00:00"/>
    <n v="590"/>
    <n v="95"/>
    <x v="1"/>
    <n v="396"/>
  </r>
  <r>
    <n v="319"/>
    <x v="318"/>
    <n v="62"/>
    <x v="6"/>
    <x v="0"/>
    <x v="1"/>
    <x v="1"/>
    <n v="3"/>
    <n v="4200"/>
    <d v="2022-12-26T00:00:00"/>
    <d v="2023-12-30T00:00:00"/>
    <n v="369"/>
    <n v="154"/>
    <x v="1"/>
    <n v="369"/>
  </r>
  <r>
    <n v="320"/>
    <x v="319"/>
    <n v="26"/>
    <x v="6"/>
    <x v="3"/>
    <x v="2"/>
    <x v="0"/>
    <n v="2"/>
    <n v="19200"/>
    <d v="2022-05-07T00:00:00"/>
    <d v="2023-03-04T00:00:00"/>
    <n v="68"/>
    <n v="455"/>
    <x v="0"/>
    <n v="301"/>
  </r>
  <r>
    <n v="321"/>
    <x v="320"/>
    <n v="36"/>
    <x v="2"/>
    <x v="3"/>
    <x v="0"/>
    <x v="0"/>
    <n v="5"/>
    <n v="39000"/>
    <d v="2022-09-12T00:00:00"/>
    <d v="2023-06-22T00:00:00"/>
    <n v="3140"/>
    <n v="345"/>
    <x v="0"/>
    <n v="283"/>
  </r>
  <r>
    <n v="322"/>
    <x v="321"/>
    <n v="54"/>
    <x v="3"/>
    <x v="0"/>
    <x v="0"/>
    <x v="0"/>
    <n v="10"/>
    <n v="15000"/>
    <d v="2022-07-13T00:00:00"/>
    <d v="2023-07-30T00:00:00"/>
    <n v="6150"/>
    <n v="307"/>
    <x v="0"/>
    <n v="382"/>
  </r>
  <r>
    <n v="323"/>
    <x v="322"/>
    <n v="45"/>
    <x v="3"/>
    <x v="0"/>
    <x v="3"/>
    <x v="2"/>
    <n v="2"/>
    <n v="2000"/>
    <d v="2023-05-27T00:00:00"/>
    <d v="2024-04-17T00:00:00"/>
    <n v="136"/>
    <n v="45"/>
    <x v="1"/>
    <n v="326"/>
  </r>
  <r>
    <n v="324"/>
    <x v="323"/>
    <n v="29"/>
    <x v="0"/>
    <x v="0"/>
    <x v="0"/>
    <x v="0"/>
    <n v="7"/>
    <n v="11900"/>
    <d v="2023-03-07T00:00:00"/>
    <d v="2023-09-10T00:00:00"/>
    <n v="4368"/>
    <n v="265"/>
    <x v="0"/>
    <n v="187"/>
  </r>
  <r>
    <n v="325"/>
    <x v="324"/>
    <n v="58"/>
    <x v="6"/>
    <x v="3"/>
    <x v="1"/>
    <x v="0"/>
    <n v="2"/>
    <n v="11000"/>
    <d v="2022-09-26T00:00:00"/>
    <d v="2023-01-14T00:00:00"/>
    <n v="224"/>
    <n v="504"/>
    <x v="0"/>
    <n v="110"/>
  </r>
  <r>
    <n v="326"/>
    <x v="325"/>
    <n v="47"/>
    <x v="7"/>
    <x v="3"/>
    <x v="0"/>
    <x v="1"/>
    <n v="7"/>
    <n v="127400"/>
    <d v="2022-03-26T00:00:00"/>
    <d v="2023-02-16T00:00:00"/>
    <n v="4368"/>
    <n v="471"/>
    <x v="0"/>
    <n v="327"/>
  </r>
  <r>
    <n v="327"/>
    <x v="326"/>
    <n v="26"/>
    <x v="6"/>
    <x v="2"/>
    <x v="1"/>
    <x v="0"/>
    <n v="9"/>
    <n v="42300"/>
    <d v="2022-06-09T00:00:00"/>
    <d v="2023-03-10T00:00:00"/>
    <n v="1170"/>
    <n v="449"/>
    <x v="0"/>
    <n v="274"/>
  </r>
  <r>
    <n v="328"/>
    <x v="327"/>
    <n v="36"/>
    <x v="1"/>
    <x v="0"/>
    <x v="0"/>
    <x v="2"/>
    <n v="1"/>
    <n v="1000"/>
    <d v="2022-03-30T00:00:00"/>
    <d v="2023-07-16T00:00:00"/>
    <n v="617"/>
    <n v="321"/>
    <x v="0"/>
    <n v="473"/>
  </r>
  <r>
    <n v="329"/>
    <x v="328"/>
    <n v="63"/>
    <x v="0"/>
    <x v="3"/>
    <x v="1"/>
    <x v="0"/>
    <n v="3"/>
    <n v="26700"/>
    <d v="2022-01-13T00:00:00"/>
    <d v="2023-01-10T00:00:00"/>
    <n v="354"/>
    <n v="508"/>
    <x v="0"/>
    <n v="362"/>
  </r>
  <r>
    <n v="330"/>
    <x v="329"/>
    <n v="54"/>
    <x v="7"/>
    <x v="1"/>
    <x v="2"/>
    <x v="0"/>
    <n v="9"/>
    <n v="37800"/>
    <d v="2022-09-23T00:00:00"/>
    <d v="2022-12-17T00:00:00"/>
    <n v="297"/>
    <n v="532"/>
    <x v="0"/>
    <n v="85"/>
  </r>
  <r>
    <n v="331"/>
    <x v="330"/>
    <n v="42"/>
    <x v="6"/>
    <x v="2"/>
    <x v="1"/>
    <x v="0"/>
    <n v="7"/>
    <n v="36400"/>
    <d v="2023-06-21T00:00:00"/>
    <d v="2023-07-23T00:00:00"/>
    <n v="882"/>
    <n v="314"/>
    <x v="0"/>
    <n v="32"/>
  </r>
  <r>
    <n v="332"/>
    <x v="331"/>
    <n v="44"/>
    <x v="0"/>
    <x v="3"/>
    <x v="2"/>
    <x v="1"/>
    <n v="1"/>
    <n v="21400"/>
    <d v="2023-08-04T00:00:00"/>
    <d v="2023-10-28T00:00:00"/>
    <n v="33"/>
    <n v="217"/>
    <x v="0"/>
    <n v="85"/>
  </r>
  <r>
    <n v="333"/>
    <x v="332"/>
    <n v="64"/>
    <x v="6"/>
    <x v="2"/>
    <x v="1"/>
    <x v="1"/>
    <n v="2"/>
    <n v="9800"/>
    <d v="2023-06-06T00:00:00"/>
    <d v="2023-06-07T00:00:00"/>
    <n v="224"/>
    <n v="360"/>
    <x v="0"/>
    <n v="1"/>
  </r>
  <r>
    <n v="334"/>
    <x v="333"/>
    <n v="44"/>
    <x v="7"/>
    <x v="1"/>
    <x v="1"/>
    <x v="2"/>
    <n v="7"/>
    <n v="33600"/>
    <d v="2022-06-03T00:00:00"/>
    <d v="2022-09-02T00:00:00"/>
    <n v="784"/>
    <n v="638"/>
    <x v="0"/>
    <n v="91"/>
  </r>
  <r>
    <n v="335"/>
    <x v="334"/>
    <n v="47"/>
    <x v="1"/>
    <x v="1"/>
    <x v="0"/>
    <x v="0"/>
    <n v="6"/>
    <n v="12600"/>
    <d v="2022-03-21T00:00:00"/>
    <d v="2023-01-07T00:00:00"/>
    <n v="3678"/>
    <n v="511"/>
    <x v="0"/>
    <n v="292"/>
  </r>
  <r>
    <n v="336"/>
    <x v="335"/>
    <n v="54"/>
    <x v="0"/>
    <x v="0"/>
    <x v="3"/>
    <x v="0"/>
    <n v="1"/>
    <n v="1300"/>
    <d v="2022-03-12T00:00:00"/>
    <d v="2023-06-04T00:00:00"/>
    <n v="59"/>
    <n v="363"/>
    <x v="0"/>
    <n v="449"/>
  </r>
  <r>
    <n v="337"/>
    <x v="336"/>
    <n v="56"/>
    <x v="3"/>
    <x v="2"/>
    <x v="0"/>
    <x v="0"/>
    <n v="8"/>
    <n v="24800"/>
    <d v="2023-01-13T00:00:00"/>
    <d v="2023-04-25T00:00:00"/>
    <n v="4864"/>
    <n v="403"/>
    <x v="0"/>
    <n v="102"/>
  </r>
  <r>
    <n v="338"/>
    <x v="337"/>
    <n v="58"/>
    <x v="3"/>
    <x v="1"/>
    <x v="2"/>
    <x v="0"/>
    <n v="8"/>
    <n v="33600"/>
    <d v="2022-07-20T00:00:00"/>
    <d v="2023-07-30T00:00:00"/>
    <n v="352"/>
    <n v="307"/>
    <x v="0"/>
    <n v="375"/>
  </r>
  <r>
    <n v="339"/>
    <x v="338"/>
    <n v="22"/>
    <x v="4"/>
    <x v="1"/>
    <x v="1"/>
    <x v="2"/>
    <n v="4"/>
    <n v="12800"/>
    <d v="2022-12-21T00:00:00"/>
    <d v="2023-11-11T00:00:00"/>
    <n v="440"/>
    <n v="203"/>
    <x v="0"/>
    <n v="325"/>
  </r>
  <r>
    <n v="340"/>
    <x v="339"/>
    <n v="27"/>
    <x v="2"/>
    <x v="0"/>
    <x v="2"/>
    <x v="0"/>
    <n v="4"/>
    <n v="6400"/>
    <d v="2022-09-01T00:00:00"/>
    <d v="2023-04-03T00:00:00"/>
    <n v="164"/>
    <n v="425"/>
    <x v="0"/>
    <n v="214"/>
  </r>
  <r>
    <n v="341"/>
    <x v="340"/>
    <n v="23"/>
    <x v="7"/>
    <x v="1"/>
    <x v="0"/>
    <x v="0"/>
    <n v="4"/>
    <n v="18800"/>
    <d v="2023-06-17T00:00:00"/>
    <d v="2024-01-14T00:00:00"/>
    <n v="2452"/>
    <n v="139"/>
    <x v="1"/>
    <n v="211"/>
  </r>
  <r>
    <n v="342"/>
    <x v="341"/>
    <n v="29"/>
    <x v="5"/>
    <x v="0"/>
    <x v="1"/>
    <x v="1"/>
    <n v="7"/>
    <n v="4900"/>
    <d v="2023-08-05T00:00:00"/>
    <d v="2023-09-05T00:00:00"/>
    <n v="959"/>
    <n v="270"/>
    <x v="0"/>
    <n v="31"/>
  </r>
  <r>
    <n v="343"/>
    <x v="342"/>
    <n v="41"/>
    <x v="6"/>
    <x v="1"/>
    <x v="0"/>
    <x v="0"/>
    <n v="7"/>
    <n v="27300"/>
    <d v="2022-12-01T00:00:00"/>
    <d v="2023-05-12T00:00:00"/>
    <n v="4326"/>
    <n v="386"/>
    <x v="0"/>
    <n v="162"/>
  </r>
  <r>
    <n v="344"/>
    <x v="343"/>
    <n v="29"/>
    <x v="3"/>
    <x v="1"/>
    <x v="1"/>
    <x v="0"/>
    <n v="10"/>
    <n v="14000"/>
    <d v="2022-06-09T00:00:00"/>
    <d v="2022-08-02T00:00:00"/>
    <n v="1200"/>
    <n v="669"/>
    <x v="0"/>
    <n v="54"/>
  </r>
  <r>
    <n v="345"/>
    <x v="344"/>
    <n v="28"/>
    <x v="5"/>
    <x v="3"/>
    <x v="0"/>
    <x v="2"/>
    <n v="9"/>
    <n v="150300"/>
    <d v="2022-08-01T00:00:00"/>
    <d v="2023-03-20T00:00:00"/>
    <n v="5481"/>
    <n v="439"/>
    <x v="0"/>
    <n v="231"/>
  </r>
  <r>
    <n v="346"/>
    <x v="345"/>
    <n v="31"/>
    <x v="5"/>
    <x v="2"/>
    <x v="1"/>
    <x v="0"/>
    <n v="5"/>
    <n v="49000"/>
    <d v="2022-02-11T00:00:00"/>
    <d v="2022-06-01T00:00:00"/>
    <n v="650"/>
    <n v="731"/>
    <x v="0"/>
    <n v="110"/>
  </r>
  <r>
    <n v="347"/>
    <x v="346"/>
    <n v="46"/>
    <x v="6"/>
    <x v="0"/>
    <x v="3"/>
    <x v="0"/>
    <n v="9"/>
    <n v="5400"/>
    <d v="2022-11-03T00:00:00"/>
    <d v="2023-03-16T00:00:00"/>
    <n v="369"/>
    <n v="443"/>
    <x v="0"/>
    <n v="133"/>
  </r>
  <r>
    <n v="348"/>
    <x v="347"/>
    <n v="56"/>
    <x v="7"/>
    <x v="3"/>
    <x v="2"/>
    <x v="1"/>
    <n v="4"/>
    <n v="32400"/>
    <d v="2023-04-19T00:00:00"/>
    <d v="2023-06-10T00:00:00"/>
    <n v="72"/>
    <n v="357"/>
    <x v="0"/>
    <n v="52"/>
  </r>
  <r>
    <n v="349"/>
    <x v="348"/>
    <n v="29"/>
    <x v="0"/>
    <x v="0"/>
    <x v="1"/>
    <x v="0"/>
    <n v="4"/>
    <n v="5200"/>
    <d v="2023-01-17T00:00:00"/>
    <d v="2024-01-03T00:00:00"/>
    <n v="600"/>
    <n v="150"/>
    <x v="1"/>
    <n v="351"/>
  </r>
  <r>
    <n v="350"/>
    <x v="349"/>
    <n v="25"/>
    <x v="0"/>
    <x v="2"/>
    <x v="1"/>
    <x v="0"/>
    <n v="4"/>
    <n v="33200"/>
    <d v="2023-03-31T00:00:00"/>
    <d v="2024-05-18T00:00:00"/>
    <n v="472"/>
    <n v="14"/>
    <x v="1"/>
    <n v="414"/>
  </r>
  <r>
    <n v="351"/>
    <x v="350"/>
    <n v="50"/>
    <x v="0"/>
    <x v="2"/>
    <x v="1"/>
    <x v="0"/>
    <n v="1"/>
    <n v="4400"/>
    <d v="2023-08-11T00:00:00"/>
    <d v="2024-03-19T00:00:00"/>
    <n v="135"/>
    <n v="74"/>
    <x v="1"/>
    <n v="221"/>
  </r>
  <r>
    <n v="352"/>
    <x v="351"/>
    <n v="32"/>
    <x v="5"/>
    <x v="0"/>
    <x v="2"/>
    <x v="2"/>
    <n v="6"/>
    <n v="5400"/>
    <d v="2022-07-11T00:00:00"/>
    <d v="2022-11-28T00:00:00"/>
    <n v="162"/>
    <n v="551"/>
    <x v="0"/>
    <n v="140"/>
  </r>
  <r>
    <n v="353"/>
    <x v="352"/>
    <n v="60"/>
    <x v="5"/>
    <x v="1"/>
    <x v="1"/>
    <x v="1"/>
    <n v="10"/>
    <n v="20000"/>
    <d v="2022-10-30T00:00:00"/>
    <d v="2023-07-12T00:00:00"/>
    <n v="1360"/>
    <n v="325"/>
    <x v="0"/>
    <n v="255"/>
  </r>
  <r>
    <n v="354"/>
    <x v="353"/>
    <n v="45"/>
    <x v="5"/>
    <x v="0"/>
    <x v="1"/>
    <x v="0"/>
    <n v="3"/>
    <n v="4200"/>
    <d v="2022-07-24T00:00:00"/>
    <d v="2023-06-18T00:00:00"/>
    <n v="429"/>
    <n v="349"/>
    <x v="0"/>
    <n v="329"/>
  </r>
  <r>
    <n v="355"/>
    <x v="354"/>
    <n v="51"/>
    <x v="4"/>
    <x v="0"/>
    <x v="2"/>
    <x v="0"/>
    <n v="9"/>
    <n v="13500"/>
    <d v="2022-12-19T00:00:00"/>
    <d v="2024-03-30T00:00:00"/>
    <n v="414"/>
    <n v="63"/>
    <x v="1"/>
    <n v="467"/>
  </r>
  <r>
    <n v="356"/>
    <x v="355"/>
    <n v="22"/>
    <x v="2"/>
    <x v="3"/>
    <x v="0"/>
    <x v="0"/>
    <n v="6"/>
    <n v="147600"/>
    <d v="2022-08-13T00:00:00"/>
    <d v="2022-08-28T00:00:00"/>
    <n v="3642"/>
    <n v="643"/>
    <x v="0"/>
    <n v="15"/>
  </r>
  <r>
    <n v="357"/>
    <x v="356"/>
    <n v="35"/>
    <x v="7"/>
    <x v="3"/>
    <x v="0"/>
    <x v="1"/>
    <n v="3"/>
    <n v="24900"/>
    <d v="2022-09-11T00:00:00"/>
    <d v="2023-08-13T00:00:00"/>
    <n v="1815"/>
    <n v="293"/>
    <x v="0"/>
    <n v="336"/>
  </r>
  <r>
    <n v="358"/>
    <x v="357"/>
    <n v="45"/>
    <x v="3"/>
    <x v="0"/>
    <x v="3"/>
    <x v="1"/>
    <n v="6"/>
    <n v="5400"/>
    <d v="2022-06-30T00:00:00"/>
    <d v="2022-10-29T00:00:00"/>
    <n v="402"/>
    <n v="581"/>
    <x v="0"/>
    <n v="121"/>
  </r>
  <r>
    <n v="359"/>
    <x v="358"/>
    <n v="57"/>
    <x v="2"/>
    <x v="2"/>
    <x v="1"/>
    <x v="0"/>
    <n v="10"/>
    <n v="42000"/>
    <d v="2023-07-31T00:00:00"/>
    <d v="2024-11-27T00:00:00"/>
    <n v="1220"/>
    <n v="-179"/>
    <x v="1"/>
    <n v="485"/>
  </r>
  <r>
    <n v="360"/>
    <x v="359"/>
    <n v="23"/>
    <x v="5"/>
    <x v="2"/>
    <x v="3"/>
    <x v="2"/>
    <n v="2"/>
    <n v="7000"/>
    <d v="2022-08-27T00:00:00"/>
    <d v="2023-07-01T00:00:00"/>
    <n v="88"/>
    <n v="336"/>
    <x v="0"/>
    <n v="308"/>
  </r>
  <r>
    <n v="361"/>
    <x v="360"/>
    <n v="60"/>
    <x v="7"/>
    <x v="3"/>
    <x v="1"/>
    <x v="0"/>
    <n v="4"/>
    <n v="37200"/>
    <d v="2022-12-15T00:00:00"/>
    <d v="2023-12-17T00:00:00"/>
    <n v="484"/>
    <n v="167"/>
    <x v="1"/>
    <n v="367"/>
  </r>
  <r>
    <n v="362"/>
    <x v="361"/>
    <n v="58"/>
    <x v="2"/>
    <x v="0"/>
    <x v="1"/>
    <x v="0"/>
    <n v="3"/>
    <n v="2100"/>
    <d v="2023-06-23T00:00:00"/>
    <d v="2024-09-05T00:00:00"/>
    <n v="399"/>
    <n v="-96"/>
    <x v="1"/>
    <n v="440"/>
  </r>
  <r>
    <n v="363"/>
    <x v="362"/>
    <n v="27"/>
    <x v="0"/>
    <x v="2"/>
    <x v="2"/>
    <x v="1"/>
    <n v="6"/>
    <n v="33000"/>
    <d v="2022-11-27T00:00:00"/>
    <d v="2023-02-04T00:00:00"/>
    <n v="120"/>
    <n v="483"/>
    <x v="0"/>
    <n v="69"/>
  </r>
  <r>
    <n v="364"/>
    <x v="363"/>
    <n v="56"/>
    <x v="1"/>
    <x v="3"/>
    <x v="0"/>
    <x v="0"/>
    <n v="10"/>
    <n v="167000"/>
    <d v="2022-08-17T00:00:00"/>
    <d v="2023-07-23T00:00:00"/>
    <n v="6270"/>
    <n v="314"/>
    <x v="0"/>
    <n v="340"/>
  </r>
  <r>
    <n v="365"/>
    <x v="364"/>
    <n v="29"/>
    <x v="6"/>
    <x v="3"/>
    <x v="0"/>
    <x v="0"/>
    <n v="3"/>
    <n v="15300"/>
    <d v="2023-08-10T00:00:00"/>
    <d v="2024-02-26T00:00:00"/>
    <n v="1878"/>
    <n v="96"/>
    <x v="1"/>
    <n v="200"/>
  </r>
  <r>
    <n v="366"/>
    <x v="365"/>
    <n v="35"/>
    <x v="7"/>
    <x v="1"/>
    <x v="0"/>
    <x v="1"/>
    <n v="10"/>
    <n v="14000"/>
    <d v="2023-05-24T00:00:00"/>
    <d v="2023-08-04T00:00:00"/>
    <n v="6110"/>
    <n v="302"/>
    <x v="0"/>
    <n v="72"/>
  </r>
  <r>
    <n v="367"/>
    <x v="366"/>
    <n v="31"/>
    <x v="0"/>
    <x v="1"/>
    <x v="0"/>
    <x v="0"/>
    <n v="2"/>
    <n v="8800"/>
    <d v="2022-12-10T00:00:00"/>
    <d v="2023-07-26T00:00:00"/>
    <n v="1180"/>
    <n v="311"/>
    <x v="0"/>
    <n v="228"/>
  </r>
  <r>
    <n v="368"/>
    <x v="367"/>
    <n v="43"/>
    <x v="3"/>
    <x v="1"/>
    <x v="3"/>
    <x v="0"/>
    <n v="5"/>
    <n v="21000"/>
    <d v="2022-04-21T00:00:00"/>
    <d v="2023-04-24T00:00:00"/>
    <n v="150"/>
    <n v="404"/>
    <x v="0"/>
    <n v="368"/>
  </r>
  <r>
    <n v="369"/>
    <x v="368"/>
    <n v="31"/>
    <x v="7"/>
    <x v="3"/>
    <x v="2"/>
    <x v="2"/>
    <n v="7"/>
    <n v="148400"/>
    <d v="2023-01-23T00:00:00"/>
    <d v="2023-07-21T00:00:00"/>
    <n v="308"/>
    <n v="316"/>
    <x v="0"/>
    <n v="179"/>
  </r>
  <r>
    <n v="370"/>
    <x v="369"/>
    <n v="62"/>
    <x v="1"/>
    <x v="0"/>
    <x v="2"/>
    <x v="1"/>
    <n v="4"/>
    <n v="3200"/>
    <d v="2023-04-08T00:00:00"/>
    <d v="2023-05-15T00:00:00"/>
    <n v="48"/>
    <n v="383"/>
    <x v="0"/>
    <n v="37"/>
  </r>
  <r>
    <n v="371"/>
    <x v="370"/>
    <n v="27"/>
    <x v="3"/>
    <x v="0"/>
    <x v="0"/>
    <x v="0"/>
    <n v="2"/>
    <n v="2400"/>
    <d v="2022-06-24T00:00:00"/>
    <d v="2023-09-21T00:00:00"/>
    <n v="1228"/>
    <n v="254"/>
    <x v="0"/>
    <n v="454"/>
  </r>
  <r>
    <n v="372"/>
    <x v="371"/>
    <n v="59"/>
    <x v="6"/>
    <x v="0"/>
    <x v="1"/>
    <x v="0"/>
    <n v="10"/>
    <n v="15000"/>
    <d v="2022-02-01T00:00:00"/>
    <d v="2022-09-09T00:00:00"/>
    <n v="1200"/>
    <n v="631"/>
    <x v="0"/>
    <n v="220"/>
  </r>
  <r>
    <n v="373"/>
    <x v="372"/>
    <n v="42"/>
    <x v="1"/>
    <x v="1"/>
    <x v="1"/>
    <x v="0"/>
    <n v="4"/>
    <n v="20000"/>
    <d v="2022-07-14T00:00:00"/>
    <d v="2023-02-08T00:00:00"/>
    <n v="580"/>
    <n v="479"/>
    <x v="0"/>
    <n v="209"/>
  </r>
  <r>
    <n v="374"/>
    <x v="373"/>
    <n v="27"/>
    <x v="3"/>
    <x v="2"/>
    <x v="0"/>
    <x v="0"/>
    <n v="1"/>
    <n v="6200"/>
    <d v="2023-08-09T00:00:00"/>
    <d v="2024-05-16T00:00:00"/>
    <n v="621"/>
    <n v="16"/>
    <x v="1"/>
    <n v="281"/>
  </r>
  <r>
    <n v="375"/>
    <x v="374"/>
    <n v="48"/>
    <x v="6"/>
    <x v="0"/>
    <x v="0"/>
    <x v="0"/>
    <n v="2"/>
    <n v="2200"/>
    <d v="2023-05-07T00:00:00"/>
    <d v="2023-08-17T00:00:00"/>
    <n v="1192"/>
    <n v="289"/>
    <x v="0"/>
    <n v="102"/>
  </r>
  <r>
    <n v="376"/>
    <x v="375"/>
    <n v="26"/>
    <x v="7"/>
    <x v="1"/>
    <x v="3"/>
    <x v="0"/>
    <n v="8"/>
    <n v="36000"/>
    <d v="2022-04-29T00:00:00"/>
    <d v="2022-10-03T00:00:00"/>
    <n v="440"/>
    <n v="607"/>
    <x v="0"/>
    <n v="157"/>
  </r>
  <r>
    <n v="377"/>
    <x v="376"/>
    <n v="62"/>
    <x v="5"/>
    <x v="3"/>
    <x v="0"/>
    <x v="0"/>
    <n v="9"/>
    <n v="159300"/>
    <d v="2022-07-09T00:00:00"/>
    <d v="2023-01-14T00:00:00"/>
    <n v="5526"/>
    <n v="504"/>
    <x v="0"/>
    <n v="189"/>
  </r>
  <r>
    <n v="378"/>
    <x v="377"/>
    <n v="37"/>
    <x v="2"/>
    <x v="1"/>
    <x v="2"/>
    <x v="0"/>
    <n v="8"/>
    <n v="23200"/>
    <d v="2022-09-27T00:00:00"/>
    <d v="2023-01-20T00:00:00"/>
    <n v="216"/>
    <n v="498"/>
    <x v="0"/>
    <n v="115"/>
  </r>
  <r>
    <n v="379"/>
    <x v="378"/>
    <n v="63"/>
    <x v="7"/>
    <x v="1"/>
    <x v="1"/>
    <x v="0"/>
    <n v="6"/>
    <n v="25800"/>
    <d v="2023-07-09T00:00:00"/>
    <d v="2024-02-05T00:00:00"/>
    <n v="882"/>
    <n v="117"/>
    <x v="1"/>
    <n v="211"/>
  </r>
  <r>
    <n v="380"/>
    <x v="379"/>
    <n v="47"/>
    <x v="4"/>
    <x v="0"/>
    <x v="2"/>
    <x v="1"/>
    <n v="9"/>
    <n v="17100"/>
    <d v="2023-05-02T00:00:00"/>
    <d v="2024-02-19T00:00:00"/>
    <n v="225"/>
    <n v="103"/>
    <x v="1"/>
    <n v="293"/>
  </r>
  <r>
    <n v="381"/>
    <x v="380"/>
    <n v="23"/>
    <x v="5"/>
    <x v="2"/>
    <x v="1"/>
    <x v="2"/>
    <n v="9"/>
    <n v="69300"/>
    <d v="2023-06-14T00:00:00"/>
    <d v="2024-07-27T00:00:00"/>
    <n v="1314"/>
    <n v="-56"/>
    <x v="1"/>
    <n v="409"/>
  </r>
  <r>
    <n v="382"/>
    <x v="381"/>
    <n v="31"/>
    <x v="6"/>
    <x v="0"/>
    <x v="2"/>
    <x v="0"/>
    <n v="4"/>
    <n v="3600"/>
    <d v="2022-05-10T00:00:00"/>
    <d v="2022-05-31T00:00:00"/>
    <n v="148"/>
    <n v="732"/>
    <x v="0"/>
    <n v="21"/>
  </r>
  <r>
    <n v="383"/>
    <x v="382"/>
    <n v="59"/>
    <x v="0"/>
    <x v="3"/>
    <x v="3"/>
    <x v="0"/>
    <n v="5"/>
    <n v="77500"/>
    <d v="2022-03-10T00:00:00"/>
    <d v="2022-04-23T00:00:00"/>
    <n v="270"/>
    <n v="770"/>
    <x v="0"/>
    <n v="44"/>
  </r>
  <r>
    <n v="384"/>
    <x v="383"/>
    <n v="50"/>
    <x v="1"/>
    <x v="2"/>
    <x v="0"/>
    <x v="1"/>
    <n v="1"/>
    <n v="9400"/>
    <d v="2023-06-20T00:00:00"/>
    <d v="2024-07-24T00:00:00"/>
    <n v="616"/>
    <n v="-53"/>
    <x v="1"/>
    <n v="400"/>
  </r>
  <r>
    <n v="385"/>
    <x v="384"/>
    <n v="57"/>
    <x v="0"/>
    <x v="3"/>
    <x v="3"/>
    <x v="0"/>
    <n v="10"/>
    <n v="241000"/>
    <d v="2022-04-13T00:00:00"/>
    <d v="2023-07-30T00:00:00"/>
    <n v="360"/>
    <n v="307"/>
    <x v="0"/>
    <n v="473"/>
  </r>
  <r>
    <n v="386"/>
    <x v="385"/>
    <n v="37"/>
    <x v="0"/>
    <x v="2"/>
    <x v="0"/>
    <x v="2"/>
    <n v="7"/>
    <n v="58800"/>
    <d v="2023-05-13T00:00:00"/>
    <d v="2024-02-29T00:00:00"/>
    <n v="4396"/>
    <n v="93"/>
    <x v="1"/>
    <n v="292"/>
  </r>
  <r>
    <n v="387"/>
    <x v="386"/>
    <n v="46"/>
    <x v="5"/>
    <x v="0"/>
    <x v="3"/>
    <x v="0"/>
    <n v="3"/>
    <n v="5400"/>
    <d v="2023-02-16T00:00:00"/>
    <d v="2023-03-07T00:00:00"/>
    <n v="165"/>
    <n v="452"/>
    <x v="0"/>
    <n v="19"/>
  </r>
  <r>
    <n v="388"/>
    <x v="387"/>
    <n v="38"/>
    <x v="2"/>
    <x v="1"/>
    <x v="1"/>
    <x v="2"/>
    <n v="6"/>
    <n v="6600"/>
    <d v="2022-12-12T00:00:00"/>
    <d v="2024-02-03T00:00:00"/>
    <n v="774"/>
    <n v="119"/>
    <x v="1"/>
    <n v="418"/>
  </r>
  <r>
    <n v="389"/>
    <x v="388"/>
    <n v="35"/>
    <x v="3"/>
    <x v="2"/>
    <x v="2"/>
    <x v="0"/>
    <n v="3"/>
    <n v="16500"/>
    <d v="2023-03-30T00:00:00"/>
    <d v="2024-04-29T00:00:00"/>
    <n v="90"/>
    <n v="33"/>
    <x v="1"/>
    <n v="396"/>
  </r>
  <r>
    <n v="390"/>
    <x v="389"/>
    <n v="49"/>
    <x v="3"/>
    <x v="3"/>
    <x v="1"/>
    <x v="0"/>
    <n v="4"/>
    <n v="73200"/>
    <d v="2023-05-12T00:00:00"/>
    <d v="2024-06-03T00:00:00"/>
    <n v="572"/>
    <n v="-2"/>
    <x v="1"/>
    <n v="388"/>
  </r>
  <r>
    <n v="391"/>
    <x v="390"/>
    <n v="40"/>
    <x v="2"/>
    <x v="0"/>
    <x v="3"/>
    <x v="0"/>
    <n v="9"/>
    <n v="11700"/>
    <d v="2022-05-19T00:00:00"/>
    <d v="2023-06-22T00:00:00"/>
    <n v="567"/>
    <n v="345"/>
    <x v="0"/>
    <n v="399"/>
  </r>
  <r>
    <n v="392"/>
    <x v="391"/>
    <n v="24"/>
    <x v="7"/>
    <x v="1"/>
    <x v="3"/>
    <x v="0"/>
    <n v="4"/>
    <n v="4400"/>
    <d v="2023-04-13T00:00:00"/>
    <d v="2023-05-08T00:00:00"/>
    <n v="212"/>
    <n v="390"/>
    <x v="0"/>
    <n v="25"/>
  </r>
  <r>
    <n v="393"/>
    <x v="392"/>
    <n v="53"/>
    <x v="4"/>
    <x v="2"/>
    <x v="0"/>
    <x v="2"/>
    <n v="7"/>
    <n v="57400"/>
    <d v="2022-05-07T00:00:00"/>
    <d v="2023-04-20T00:00:00"/>
    <n v="4137"/>
    <n v="408"/>
    <x v="0"/>
    <n v="348"/>
  </r>
  <r>
    <n v="394"/>
    <x v="393"/>
    <n v="49"/>
    <x v="4"/>
    <x v="2"/>
    <x v="2"/>
    <x v="1"/>
    <n v="3"/>
    <n v="20700"/>
    <d v="2023-08-24T00:00:00"/>
    <d v="2024-06-01T00:00:00"/>
    <n v="96"/>
    <n v="0"/>
    <x v="1"/>
    <n v="282"/>
  </r>
  <r>
    <n v="395"/>
    <x v="394"/>
    <n v="39"/>
    <x v="2"/>
    <x v="1"/>
    <x v="0"/>
    <x v="0"/>
    <n v="1"/>
    <n v="2600"/>
    <d v="2022-02-20T00:00:00"/>
    <d v="2022-05-14T00:00:00"/>
    <n v="626"/>
    <n v="749"/>
    <x v="0"/>
    <n v="83"/>
  </r>
  <r>
    <n v="396"/>
    <x v="395"/>
    <n v="38"/>
    <x v="4"/>
    <x v="1"/>
    <x v="3"/>
    <x v="0"/>
    <n v="7"/>
    <n v="21700"/>
    <d v="2022-01-21T00:00:00"/>
    <d v="2023-04-08T00:00:00"/>
    <n v="210"/>
    <n v="420"/>
    <x v="0"/>
    <n v="442"/>
  </r>
  <r>
    <n v="397"/>
    <x v="396"/>
    <n v="21"/>
    <x v="5"/>
    <x v="1"/>
    <x v="3"/>
    <x v="1"/>
    <n v="4"/>
    <n v="8000"/>
    <d v="2022-11-09T00:00:00"/>
    <d v="2023-11-08T00:00:00"/>
    <n v="188"/>
    <n v="206"/>
    <x v="0"/>
    <n v="364"/>
  </r>
  <r>
    <n v="398"/>
    <x v="397"/>
    <n v="37"/>
    <x v="1"/>
    <x v="3"/>
    <x v="0"/>
    <x v="2"/>
    <n v="4"/>
    <n v="81200"/>
    <d v="2022-11-06T00:00:00"/>
    <d v="2023-10-18T00:00:00"/>
    <n v="2492"/>
    <n v="227"/>
    <x v="0"/>
    <n v="346"/>
  </r>
  <r>
    <n v="399"/>
    <x v="398"/>
    <n v="63"/>
    <x v="1"/>
    <x v="0"/>
    <x v="1"/>
    <x v="1"/>
    <n v="6"/>
    <n v="9600"/>
    <d v="2022-10-17T00:00:00"/>
    <d v="2023-03-18T00:00:00"/>
    <n v="696"/>
    <n v="441"/>
    <x v="0"/>
    <n v="152"/>
  </r>
  <r>
    <n v="400"/>
    <x v="399"/>
    <n v="61"/>
    <x v="5"/>
    <x v="0"/>
    <x v="0"/>
    <x v="0"/>
    <n v="6"/>
    <n v="6600"/>
    <d v="2022-09-25T00:00:00"/>
    <d v="2023-08-26T00:00:00"/>
    <n v="3654"/>
    <n v="280"/>
    <x v="0"/>
    <n v="335"/>
  </r>
  <r>
    <n v="401"/>
    <x v="400"/>
    <n v="59"/>
    <x v="4"/>
    <x v="1"/>
    <x v="3"/>
    <x v="0"/>
    <n v="7"/>
    <n v="25900"/>
    <d v="2022-11-24T00:00:00"/>
    <d v="2023-11-07T00:00:00"/>
    <n v="266"/>
    <n v="207"/>
    <x v="0"/>
    <n v="348"/>
  </r>
  <r>
    <n v="402"/>
    <x v="401"/>
    <n v="47"/>
    <x v="7"/>
    <x v="3"/>
    <x v="0"/>
    <x v="0"/>
    <n v="7"/>
    <n v="123900"/>
    <d v="2022-02-06T00:00:00"/>
    <d v="2022-12-01T00:00:00"/>
    <n v="4382"/>
    <n v="548"/>
    <x v="0"/>
    <n v="298"/>
  </r>
  <r>
    <n v="403"/>
    <x v="402"/>
    <n v="61"/>
    <x v="4"/>
    <x v="2"/>
    <x v="3"/>
    <x v="1"/>
    <n v="8"/>
    <n v="68000"/>
    <d v="2023-01-03T00:00:00"/>
    <d v="2023-09-19T00:00:00"/>
    <n v="392"/>
    <n v="256"/>
    <x v="0"/>
    <n v="259"/>
  </r>
  <r>
    <n v="404"/>
    <x v="403"/>
    <n v="51"/>
    <x v="6"/>
    <x v="1"/>
    <x v="0"/>
    <x v="0"/>
    <n v="3"/>
    <n v="12000"/>
    <d v="2022-09-22T00:00:00"/>
    <d v="2023-09-28T00:00:00"/>
    <n v="1875"/>
    <n v="247"/>
    <x v="0"/>
    <n v="371"/>
  </r>
  <r>
    <n v="405"/>
    <x v="404"/>
    <n v="43"/>
    <x v="6"/>
    <x v="2"/>
    <x v="1"/>
    <x v="0"/>
    <n v="4"/>
    <n v="36400"/>
    <d v="2022-11-11T00:00:00"/>
    <d v="2023-06-14T00:00:00"/>
    <n v="524"/>
    <n v="353"/>
    <x v="0"/>
    <n v="215"/>
  </r>
  <r>
    <n v="406"/>
    <x v="405"/>
    <n v="28"/>
    <x v="2"/>
    <x v="2"/>
    <x v="0"/>
    <x v="2"/>
    <n v="8"/>
    <n v="27200"/>
    <d v="2023-08-21T00:00:00"/>
    <d v="2024-06-13T00:00:00"/>
    <n v="5032"/>
    <n v="-12"/>
    <x v="1"/>
    <n v="297"/>
  </r>
  <r>
    <n v="407"/>
    <x v="406"/>
    <n v="28"/>
    <x v="0"/>
    <x v="3"/>
    <x v="3"/>
    <x v="1"/>
    <n v="7"/>
    <n v="156800"/>
    <d v="2022-11-02T00:00:00"/>
    <d v="2023-06-01T00:00:00"/>
    <n v="231"/>
    <n v="366"/>
    <x v="0"/>
    <n v="211"/>
  </r>
  <r>
    <n v="408"/>
    <x v="407"/>
    <n v="47"/>
    <x v="6"/>
    <x v="1"/>
    <x v="3"/>
    <x v="0"/>
    <n v="10"/>
    <n v="47000"/>
    <d v="2023-04-14T00:00:00"/>
    <d v="2023-06-26T00:00:00"/>
    <n v="500"/>
    <n v="341"/>
    <x v="0"/>
    <n v="73"/>
  </r>
  <r>
    <n v="409"/>
    <x v="408"/>
    <n v="61"/>
    <x v="6"/>
    <x v="0"/>
    <x v="2"/>
    <x v="0"/>
    <n v="3"/>
    <n v="3300"/>
    <d v="2022-03-01T00:00:00"/>
    <d v="2022-03-03T00:00:00"/>
    <n v="114"/>
    <n v="821"/>
    <x v="0"/>
    <n v="2"/>
  </r>
  <r>
    <n v="410"/>
    <x v="409"/>
    <n v="31"/>
    <x v="3"/>
    <x v="1"/>
    <x v="3"/>
    <x v="1"/>
    <n v="8"/>
    <n v="33600"/>
    <d v="2022-04-01T00:00:00"/>
    <d v="2022-06-06T00:00:00"/>
    <n v="552"/>
    <n v="726"/>
    <x v="0"/>
    <n v="66"/>
  </r>
  <r>
    <n v="411"/>
    <x v="410"/>
    <n v="51"/>
    <x v="1"/>
    <x v="3"/>
    <x v="2"/>
    <x v="2"/>
    <n v="7"/>
    <n v="36400"/>
    <d v="2022-02-08T00:00:00"/>
    <d v="2022-11-08T00:00:00"/>
    <n v="154"/>
    <n v="571"/>
    <x v="0"/>
    <n v="273"/>
  </r>
  <r>
    <n v="412"/>
    <x v="411"/>
    <n v="33"/>
    <x v="2"/>
    <x v="0"/>
    <x v="0"/>
    <x v="1"/>
    <n v="1"/>
    <n v="1900"/>
    <d v="2022-01-05T00:00:00"/>
    <d v="2022-11-21T00:00:00"/>
    <n v="605"/>
    <n v="558"/>
    <x v="0"/>
    <n v="320"/>
  </r>
  <r>
    <n v="413"/>
    <x v="412"/>
    <n v="27"/>
    <x v="4"/>
    <x v="2"/>
    <x v="0"/>
    <x v="0"/>
    <n v="7"/>
    <n v="49700"/>
    <d v="2022-11-10T00:00:00"/>
    <d v="2023-02-03T00:00:00"/>
    <n v="4158"/>
    <n v="484"/>
    <x v="0"/>
    <n v="85"/>
  </r>
  <r>
    <n v="414"/>
    <x v="413"/>
    <n v="54"/>
    <x v="7"/>
    <x v="2"/>
    <x v="0"/>
    <x v="2"/>
    <n v="10"/>
    <n v="73000"/>
    <d v="2022-12-12T00:00:00"/>
    <d v="2023-07-22T00:00:00"/>
    <n v="5980"/>
    <n v="315"/>
    <x v="0"/>
    <n v="222"/>
  </r>
  <r>
    <n v="415"/>
    <x v="414"/>
    <n v="31"/>
    <x v="2"/>
    <x v="3"/>
    <x v="0"/>
    <x v="0"/>
    <n v="7"/>
    <n v="39200"/>
    <d v="2022-08-22T00:00:00"/>
    <d v="2022-12-14T00:00:00"/>
    <n v="4186"/>
    <n v="535"/>
    <x v="0"/>
    <n v="114"/>
  </r>
  <r>
    <n v="416"/>
    <x v="415"/>
    <n v="44"/>
    <x v="4"/>
    <x v="0"/>
    <x v="3"/>
    <x v="0"/>
    <n v="1"/>
    <n v="1300"/>
    <d v="2022-09-19T00:00:00"/>
    <d v="2023-10-18T00:00:00"/>
    <n v="64"/>
    <n v="227"/>
    <x v="0"/>
    <n v="394"/>
  </r>
  <r>
    <n v="417"/>
    <x v="416"/>
    <n v="24"/>
    <x v="7"/>
    <x v="0"/>
    <x v="1"/>
    <x v="0"/>
    <n v="2"/>
    <n v="2800"/>
    <d v="2023-03-31T00:00:00"/>
    <d v="2023-10-11T00:00:00"/>
    <n v="234"/>
    <n v="234"/>
    <x v="0"/>
    <n v="194"/>
  </r>
  <r>
    <n v="418"/>
    <x v="417"/>
    <n v="65"/>
    <x v="3"/>
    <x v="3"/>
    <x v="3"/>
    <x v="0"/>
    <n v="1"/>
    <n v="14900"/>
    <d v="2023-03-07T00:00:00"/>
    <d v="2024-02-08T00:00:00"/>
    <n v="36"/>
    <n v="114"/>
    <x v="1"/>
    <n v="338"/>
  </r>
  <r>
    <n v="419"/>
    <x v="418"/>
    <n v="53"/>
    <x v="3"/>
    <x v="1"/>
    <x v="2"/>
    <x v="0"/>
    <n v="10"/>
    <n v="15000"/>
    <d v="2022-10-17T00:00:00"/>
    <d v="2022-12-14T00:00:00"/>
    <n v="160"/>
    <n v="535"/>
    <x v="0"/>
    <n v="58"/>
  </r>
  <r>
    <n v="420"/>
    <x v="419"/>
    <n v="54"/>
    <x v="5"/>
    <x v="1"/>
    <x v="3"/>
    <x v="0"/>
    <n v="4"/>
    <n v="10000"/>
    <d v="2023-02-24T00:00:00"/>
    <d v="2023-07-25T00:00:00"/>
    <n v="160"/>
    <n v="312"/>
    <x v="0"/>
    <n v="151"/>
  </r>
  <r>
    <n v="421"/>
    <x v="420"/>
    <n v="42"/>
    <x v="7"/>
    <x v="3"/>
    <x v="3"/>
    <x v="2"/>
    <n v="4"/>
    <n v="20400"/>
    <d v="2022-01-14T00:00:00"/>
    <d v="2022-12-23T00:00:00"/>
    <n v="140"/>
    <n v="526"/>
    <x v="0"/>
    <n v="343"/>
  </r>
  <r>
    <n v="422"/>
    <x v="421"/>
    <n v="53"/>
    <x v="0"/>
    <x v="3"/>
    <x v="3"/>
    <x v="0"/>
    <n v="2"/>
    <n v="16600"/>
    <d v="2022-09-20T00:00:00"/>
    <d v="2023-08-15T00:00:00"/>
    <n v="88"/>
    <n v="291"/>
    <x v="0"/>
    <n v="329"/>
  </r>
  <r>
    <n v="423"/>
    <x v="422"/>
    <n v="24"/>
    <x v="5"/>
    <x v="2"/>
    <x v="0"/>
    <x v="2"/>
    <n v="2"/>
    <n v="19400"/>
    <d v="2022-06-28T00:00:00"/>
    <d v="2023-09-18T00:00:00"/>
    <n v="1184"/>
    <n v="257"/>
    <x v="0"/>
    <n v="447"/>
  </r>
  <r>
    <n v="424"/>
    <x v="423"/>
    <n v="28"/>
    <x v="3"/>
    <x v="2"/>
    <x v="0"/>
    <x v="2"/>
    <n v="2"/>
    <n v="20000"/>
    <d v="2022-02-16T00:00:00"/>
    <d v="2022-02-20T00:00:00"/>
    <n v="1196"/>
    <n v="832"/>
    <x v="0"/>
    <n v="4"/>
  </r>
  <r>
    <n v="425"/>
    <x v="424"/>
    <n v="60"/>
    <x v="6"/>
    <x v="2"/>
    <x v="0"/>
    <x v="2"/>
    <n v="5"/>
    <n v="45000"/>
    <d v="2022-04-06T00:00:00"/>
    <d v="2022-10-13T00:00:00"/>
    <n v="3055"/>
    <n v="597"/>
    <x v="0"/>
    <n v="190"/>
  </r>
  <r>
    <n v="426"/>
    <x v="425"/>
    <n v="50"/>
    <x v="6"/>
    <x v="0"/>
    <x v="2"/>
    <x v="2"/>
    <n v="5"/>
    <n v="6500"/>
    <d v="2023-05-05T00:00:00"/>
    <d v="2024-06-17T00:00:00"/>
    <n v="180"/>
    <n v="-16"/>
    <x v="1"/>
    <n v="409"/>
  </r>
  <r>
    <n v="427"/>
    <x v="426"/>
    <n v="31"/>
    <x v="6"/>
    <x v="0"/>
    <x v="3"/>
    <x v="0"/>
    <n v="2"/>
    <n v="2800"/>
    <d v="2023-05-10T00:00:00"/>
    <d v="2024-06-23T00:00:00"/>
    <n v="132"/>
    <n v="-22"/>
    <x v="1"/>
    <n v="410"/>
  </r>
  <r>
    <n v="428"/>
    <x v="427"/>
    <n v="60"/>
    <x v="5"/>
    <x v="1"/>
    <x v="2"/>
    <x v="0"/>
    <n v="1"/>
    <n v="4500"/>
    <d v="2022-05-14T00:00:00"/>
    <d v="2023-01-16T00:00:00"/>
    <n v="41"/>
    <n v="502"/>
    <x v="0"/>
    <n v="247"/>
  </r>
  <r>
    <n v="429"/>
    <x v="428"/>
    <n v="25"/>
    <x v="0"/>
    <x v="3"/>
    <x v="2"/>
    <x v="0"/>
    <n v="5"/>
    <n v="76500"/>
    <d v="2022-01-13T00:00:00"/>
    <d v="2023-01-08T00:00:00"/>
    <n v="215"/>
    <n v="510"/>
    <x v="0"/>
    <n v="360"/>
  </r>
  <r>
    <n v="430"/>
    <x v="429"/>
    <n v="63"/>
    <x v="4"/>
    <x v="2"/>
    <x v="1"/>
    <x v="2"/>
    <n v="4"/>
    <n v="27600"/>
    <d v="2022-12-21T00:00:00"/>
    <d v="2023-11-25T00:00:00"/>
    <n v="536"/>
    <n v="189"/>
    <x v="0"/>
    <n v="339"/>
  </r>
  <r>
    <n v="431"/>
    <x v="430"/>
    <n v="53"/>
    <x v="6"/>
    <x v="0"/>
    <x v="1"/>
    <x v="0"/>
    <n v="8"/>
    <n v="12000"/>
    <d v="2022-06-19T00:00:00"/>
    <d v="2022-07-27T00:00:00"/>
    <n v="1128"/>
    <n v="675"/>
    <x v="0"/>
    <n v="38"/>
  </r>
  <r>
    <n v="432"/>
    <x v="431"/>
    <n v="24"/>
    <x v="2"/>
    <x v="1"/>
    <x v="0"/>
    <x v="0"/>
    <n v="9"/>
    <n v="17100"/>
    <d v="2023-07-18T00:00:00"/>
    <d v="2024-06-11T00:00:00"/>
    <n v="5526"/>
    <n v="-10"/>
    <x v="1"/>
    <n v="329"/>
  </r>
  <r>
    <n v="433"/>
    <x v="432"/>
    <n v="49"/>
    <x v="1"/>
    <x v="1"/>
    <x v="1"/>
    <x v="2"/>
    <n v="10"/>
    <n v="28000"/>
    <d v="2022-04-01T00:00:00"/>
    <d v="2023-06-13T00:00:00"/>
    <n v="1410"/>
    <n v="354"/>
    <x v="0"/>
    <n v="438"/>
  </r>
  <r>
    <n v="434"/>
    <x v="433"/>
    <n v="62"/>
    <x v="5"/>
    <x v="2"/>
    <x v="1"/>
    <x v="2"/>
    <n v="1"/>
    <n v="3800"/>
    <d v="2023-02-18T00:00:00"/>
    <d v="2023-09-17T00:00:00"/>
    <n v="112"/>
    <n v="258"/>
    <x v="0"/>
    <n v="211"/>
  </r>
  <r>
    <n v="435"/>
    <x v="434"/>
    <n v="56"/>
    <x v="7"/>
    <x v="0"/>
    <x v="0"/>
    <x v="1"/>
    <n v="4"/>
    <n v="7200"/>
    <d v="2023-04-13T00:00:00"/>
    <d v="2024-08-11T00:00:00"/>
    <n v="2444"/>
    <n v="-71"/>
    <x v="1"/>
    <n v="486"/>
  </r>
  <r>
    <n v="436"/>
    <x v="435"/>
    <n v="42"/>
    <x v="2"/>
    <x v="0"/>
    <x v="3"/>
    <x v="2"/>
    <n v="9"/>
    <n v="16200"/>
    <d v="2023-04-30T00:00:00"/>
    <d v="2024-04-30T00:00:00"/>
    <n v="477"/>
    <n v="32"/>
    <x v="1"/>
    <n v="366"/>
  </r>
  <r>
    <n v="437"/>
    <x v="436"/>
    <n v="21"/>
    <x v="5"/>
    <x v="0"/>
    <x v="1"/>
    <x v="0"/>
    <n v="6"/>
    <n v="7200"/>
    <d v="2022-10-26T00:00:00"/>
    <d v="2023-08-02T00:00:00"/>
    <n v="858"/>
    <n v="304"/>
    <x v="0"/>
    <n v="280"/>
  </r>
  <r>
    <n v="438"/>
    <x v="437"/>
    <n v="52"/>
    <x v="2"/>
    <x v="0"/>
    <x v="1"/>
    <x v="0"/>
    <n v="3"/>
    <n v="6000"/>
    <d v="2023-02-24T00:00:00"/>
    <d v="2023-04-19T00:00:00"/>
    <n v="378"/>
    <n v="409"/>
    <x v="0"/>
    <n v="54"/>
  </r>
  <r>
    <n v="439"/>
    <x v="438"/>
    <n v="34"/>
    <x v="4"/>
    <x v="1"/>
    <x v="1"/>
    <x v="2"/>
    <n v="8"/>
    <n v="35200"/>
    <d v="2022-07-15T00:00:00"/>
    <d v="2023-07-16T00:00:00"/>
    <n v="1048"/>
    <n v="321"/>
    <x v="0"/>
    <n v="366"/>
  </r>
  <r>
    <n v="440"/>
    <x v="439"/>
    <n v="28"/>
    <x v="0"/>
    <x v="3"/>
    <x v="1"/>
    <x v="1"/>
    <n v="8"/>
    <n v="160000"/>
    <d v="2023-06-01T00:00:00"/>
    <d v="2023-08-08T00:00:00"/>
    <n v="1128"/>
    <n v="298"/>
    <x v="0"/>
    <n v="68"/>
  </r>
  <r>
    <n v="441"/>
    <x v="440"/>
    <n v="51"/>
    <x v="7"/>
    <x v="0"/>
    <x v="2"/>
    <x v="1"/>
    <n v="9"/>
    <n v="8100"/>
    <d v="2023-08-16T00:00:00"/>
    <d v="2023-11-12T00:00:00"/>
    <n v="162"/>
    <n v="202"/>
    <x v="0"/>
    <n v="88"/>
  </r>
  <r>
    <n v="442"/>
    <x v="441"/>
    <n v="45"/>
    <x v="0"/>
    <x v="3"/>
    <x v="0"/>
    <x v="1"/>
    <n v="7"/>
    <n v="175000"/>
    <d v="2022-09-12T00:00:00"/>
    <d v="2023-01-30T00:00:00"/>
    <n v="4305"/>
    <n v="488"/>
    <x v="0"/>
    <n v="140"/>
  </r>
  <r>
    <n v="443"/>
    <x v="442"/>
    <n v="29"/>
    <x v="2"/>
    <x v="2"/>
    <x v="2"/>
    <x v="0"/>
    <n v="7"/>
    <n v="55300"/>
    <d v="2023-06-09T00:00:00"/>
    <d v="2023-11-09T00:00:00"/>
    <n v="315"/>
    <n v="205"/>
    <x v="0"/>
    <n v="153"/>
  </r>
  <r>
    <n v="444"/>
    <x v="443"/>
    <n v="60"/>
    <x v="2"/>
    <x v="1"/>
    <x v="3"/>
    <x v="0"/>
    <n v="5"/>
    <n v="19000"/>
    <d v="2022-12-20T00:00:00"/>
    <d v="2024-04-04T00:00:00"/>
    <n v="190"/>
    <n v="58"/>
    <x v="1"/>
    <n v="471"/>
  </r>
  <r>
    <n v="445"/>
    <x v="444"/>
    <n v="56"/>
    <x v="6"/>
    <x v="2"/>
    <x v="1"/>
    <x v="0"/>
    <n v="8"/>
    <n v="62400"/>
    <d v="2023-08-08T00:00:00"/>
    <d v="2024-12-02T00:00:00"/>
    <n v="1088"/>
    <n v="-184"/>
    <x v="1"/>
    <n v="482"/>
  </r>
  <r>
    <n v="446"/>
    <x v="445"/>
    <n v="27"/>
    <x v="3"/>
    <x v="3"/>
    <x v="1"/>
    <x v="1"/>
    <n v="1"/>
    <n v="17500"/>
    <d v="2022-05-29T00:00:00"/>
    <d v="2022-06-25T00:00:00"/>
    <n v="113"/>
    <n v="707"/>
    <x v="0"/>
    <n v="27"/>
  </r>
  <r>
    <n v="447"/>
    <x v="446"/>
    <n v="64"/>
    <x v="4"/>
    <x v="2"/>
    <x v="3"/>
    <x v="0"/>
    <n v="5"/>
    <n v="21000"/>
    <d v="2022-03-05T00:00:00"/>
    <d v="2023-02-21T00:00:00"/>
    <n v="240"/>
    <n v="466"/>
    <x v="0"/>
    <n v="353"/>
  </r>
  <r>
    <n v="448"/>
    <x v="447"/>
    <n v="27"/>
    <x v="4"/>
    <x v="0"/>
    <x v="0"/>
    <x v="2"/>
    <n v="10"/>
    <n v="19000"/>
    <d v="2023-07-30T00:00:00"/>
    <d v="2024-10-14T00:00:00"/>
    <n v="6040"/>
    <n v="-135"/>
    <x v="1"/>
    <n v="442"/>
  </r>
  <r>
    <n v="449"/>
    <x v="448"/>
    <n v="45"/>
    <x v="1"/>
    <x v="1"/>
    <x v="0"/>
    <x v="0"/>
    <n v="7"/>
    <n v="18900"/>
    <d v="2022-11-17T00:00:00"/>
    <d v="2024-03-25T00:00:00"/>
    <n v="4375"/>
    <n v="68"/>
    <x v="1"/>
    <n v="494"/>
  </r>
  <r>
    <n v="450"/>
    <x v="449"/>
    <n v="60"/>
    <x v="7"/>
    <x v="0"/>
    <x v="0"/>
    <x v="0"/>
    <n v="8"/>
    <n v="8000"/>
    <d v="2023-01-12T00:00:00"/>
    <d v="2024-02-02T00:00:00"/>
    <n v="5016"/>
    <n v="120"/>
    <x v="1"/>
    <n v="386"/>
  </r>
  <r>
    <n v="451"/>
    <x v="450"/>
    <n v="32"/>
    <x v="4"/>
    <x v="1"/>
    <x v="0"/>
    <x v="2"/>
    <n v="2"/>
    <n v="3600"/>
    <d v="2022-06-27T00:00:00"/>
    <d v="2023-07-08T00:00:00"/>
    <n v="1244"/>
    <n v="329"/>
    <x v="0"/>
    <n v="376"/>
  </r>
  <r>
    <n v="452"/>
    <x v="451"/>
    <n v="38"/>
    <x v="0"/>
    <x v="3"/>
    <x v="1"/>
    <x v="2"/>
    <n v="9"/>
    <n v="123300"/>
    <d v="2022-05-14T00:00:00"/>
    <d v="2022-08-04T00:00:00"/>
    <n v="1323"/>
    <n v="667"/>
    <x v="0"/>
    <n v="82"/>
  </r>
  <r>
    <n v="453"/>
    <x v="452"/>
    <n v="30"/>
    <x v="3"/>
    <x v="0"/>
    <x v="0"/>
    <x v="2"/>
    <n v="1"/>
    <n v="800"/>
    <d v="2022-11-27T00:00:00"/>
    <d v="2023-09-28T00:00:00"/>
    <n v="593"/>
    <n v="247"/>
    <x v="0"/>
    <n v="305"/>
  </r>
  <r>
    <n v="454"/>
    <x v="453"/>
    <n v="41"/>
    <x v="3"/>
    <x v="3"/>
    <x v="0"/>
    <x v="0"/>
    <n v="9"/>
    <n v="109800"/>
    <d v="2022-07-08T00:00:00"/>
    <d v="2023-03-31T00:00:00"/>
    <n v="5346"/>
    <n v="428"/>
    <x v="0"/>
    <n v="266"/>
  </r>
  <r>
    <n v="455"/>
    <x v="454"/>
    <n v="43"/>
    <x v="6"/>
    <x v="3"/>
    <x v="2"/>
    <x v="0"/>
    <n v="4"/>
    <n v="48000"/>
    <d v="2022-12-06T00:00:00"/>
    <d v="2023-05-24T00:00:00"/>
    <n v="132"/>
    <n v="374"/>
    <x v="0"/>
    <n v="169"/>
  </r>
  <r>
    <n v="456"/>
    <x v="455"/>
    <n v="62"/>
    <x v="3"/>
    <x v="1"/>
    <x v="2"/>
    <x v="1"/>
    <n v="1"/>
    <n v="1500"/>
    <d v="2022-12-21T00:00:00"/>
    <d v="2023-08-06T00:00:00"/>
    <n v="25"/>
    <n v="300"/>
    <x v="0"/>
    <n v="228"/>
  </r>
  <r>
    <n v="457"/>
    <x v="456"/>
    <n v="28"/>
    <x v="4"/>
    <x v="0"/>
    <x v="0"/>
    <x v="2"/>
    <n v="7"/>
    <n v="7000"/>
    <d v="2023-07-08T00:00:00"/>
    <d v="2024-07-12T00:00:00"/>
    <n v="4256"/>
    <n v="-41"/>
    <x v="1"/>
    <n v="370"/>
  </r>
  <r>
    <n v="458"/>
    <x v="457"/>
    <n v="23"/>
    <x v="7"/>
    <x v="2"/>
    <x v="2"/>
    <x v="2"/>
    <n v="5"/>
    <n v="41500"/>
    <d v="2022-07-17T00:00:00"/>
    <d v="2022-12-28T00:00:00"/>
    <n v="210"/>
    <n v="521"/>
    <x v="0"/>
    <n v="164"/>
  </r>
  <r>
    <n v="459"/>
    <x v="458"/>
    <n v="55"/>
    <x v="0"/>
    <x v="0"/>
    <x v="3"/>
    <x v="1"/>
    <n v="1"/>
    <n v="1800"/>
    <d v="2022-03-09T00:00:00"/>
    <d v="2022-06-24T00:00:00"/>
    <n v="70"/>
    <n v="708"/>
    <x v="0"/>
    <n v="107"/>
  </r>
  <r>
    <n v="460"/>
    <x v="459"/>
    <n v="55"/>
    <x v="4"/>
    <x v="3"/>
    <x v="1"/>
    <x v="0"/>
    <n v="7"/>
    <n v="51800"/>
    <d v="2022-06-07T00:00:00"/>
    <d v="2022-06-19T00:00:00"/>
    <n v="973"/>
    <n v="713"/>
    <x v="0"/>
    <n v="12"/>
  </r>
  <r>
    <n v="461"/>
    <x v="460"/>
    <n v="24"/>
    <x v="2"/>
    <x v="0"/>
    <x v="1"/>
    <x v="0"/>
    <n v="3"/>
    <n v="3000"/>
    <d v="2023-07-26T00:00:00"/>
    <d v="2023-08-31T00:00:00"/>
    <n v="438"/>
    <n v="275"/>
    <x v="0"/>
    <n v="36"/>
  </r>
  <r>
    <n v="462"/>
    <x v="461"/>
    <n v="49"/>
    <x v="4"/>
    <x v="2"/>
    <x v="2"/>
    <x v="2"/>
    <n v="7"/>
    <n v="45500"/>
    <d v="2022-11-20T00:00:00"/>
    <d v="2022-11-28T00:00:00"/>
    <n v="238"/>
    <n v="551"/>
    <x v="0"/>
    <n v="8"/>
  </r>
  <r>
    <n v="463"/>
    <x v="462"/>
    <n v="23"/>
    <x v="0"/>
    <x v="0"/>
    <x v="1"/>
    <x v="1"/>
    <n v="2"/>
    <n v="2400"/>
    <d v="2023-05-30T00:00:00"/>
    <d v="2023-07-23T00:00:00"/>
    <n v="256"/>
    <n v="314"/>
    <x v="0"/>
    <n v="54"/>
  </r>
  <r>
    <n v="464"/>
    <x v="463"/>
    <n v="45"/>
    <x v="3"/>
    <x v="0"/>
    <x v="0"/>
    <x v="2"/>
    <n v="7"/>
    <n v="13300"/>
    <d v="2022-02-01T00:00:00"/>
    <d v="2022-10-01T00:00:00"/>
    <n v="4200"/>
    <n v="609"/>
    <x v="0"/>
    <n v="242"/>
  </r>
  <r>
    <n v="465"/>
    <x v="464"/>
    <n v="39"/>
    <x v="4"/>
    <x v="1"/>
    <x v="2"/>
    <x v="1"/>
    <n v="3"/>
    <n v="6600"/>
    <d v="2023-01-18T00:00:00"/>
    <d v="2024-05-22T00:00:00"/>
    <n v="30"/>
    <n v="10"/>
    <x v="1"/>
    <n v="490"/>
  </r>
  <r>
    <n v="466"/>
    <x v="465"/>
    <n v="57"/>
    <x v="6"/>
    <x v="0"/>
    <x v="1"/>
    <x v="0"/>
    <n v="10"/>
    <n v="13000"/>
    <d v="2023-07-05T00:00:00"/>
    <d v="2024-04-10T00:00:00"/>
    <n v="1150"/>
    <n v="52"/>
    <x v="1"/>
    <n v="280"/>
  </r>
  <r>
    <n v="467"/>
    <x v="466"/>
    <n v="47"/>
    <x v="3"/>
    <x v="1"/>
    <x v="0"/>
    <x v="0"/>
    <n v="9"/>
    <n v="14400"/>
    <d v="2022-06-14T00:00:00"/>
    <d v="2022-09-16T00:00:00"/>
    <n v="5436"/>
    <n v="624"/>
    <x v="0"/>
    <n v="94"/>
  </r>
  <r>
    <n v="468"/>
    <x v="467"/>
    <n v="63"/>
    <x v="3"/>
    <x v="1"/>
    <x v="1"/>
    <x v="0"/>
    <n v="10"/>
    <n v="45000"/>
    <d v="2022-02-25T00:00:00"/>
    <d v="2023-05-06T00:00:00"/>
    <n v="1450"/>
    <n v="392"/>
    <x v="0"/>
    <n v="435"/>
  </r>
  <r>
    <n v="469"/>
    <x v="468"/>
    <n v="37"/>
    <x v="5"/>
    <x v="0"/>
    <x v="0"/>
    <x v="0"/>
    <n v="2"/>
    <n v="1800"/>
    <d v="2023-08-18T00:00:00"/>
    <d v="2024-04-23T00:00:00"/>
    <n v="1222"/>
    <n v="39"/>
    <x v="1"/>
    <n v="249"/>
  </r>
  <r>
    <n v="470"/>
    <x v="469"/>
    <n v="39"/>
    <x v="2"/>
    <x v="1"/>
    <x v="3"/>
    <x v="0"/>
    <n v="10"/>
    <n v="13000"/>
    <d v="2022-07-18T00:00:00"/>
    <d v="2022-12-27T00:00:00"/>
    <n v="610"/>
    <n v="522"/>
    <x v="0"/>
    <n v="162"/>
  </r>
  <r>
    <n v="471"/>
    <x v="470"/>
    <n v="30"/>
    <x v="5"/>
    <x v="2"/>
    <x v="0"/>
    <x v="1"/>
    <n v="10"/>
    <n v="76000"/>
    <d v="2023-01-09T00:00:00"/>
    <d v="2024-02-26T00:00:00"/>
    <n v="6100"/>
    <n v="96"/>
    <x v="1"/>
    <n v="413"/>
  </r>
  <r>
    <n v="472"/>
    <x v="471"/>
    <n v="36"/>
    <x v="1"/>
    <x v="1"/>
    <x v="1"/>
    <x v="0"/>
    <n v="4"/>
    <n v="15600"/>
    <d v="2023-03-23T00:00:00"/>
    <d v="2023-08-11T00:00:00"/>
    <n v="532"/>
    <n v="295"/>
    <x v="0"/>
    <n v="141"/>
  </r>
  <r>
    <n v="473"/>
    <x v="472"/>
    <n v="49"/>
    <x v="6"/>
    <x v="2"/>
    <x v="2"/>
    <x v="2"/>
    <n v="6"/>
    <n v="55800"/>
    <d v="2022-11-09T00:00:00"/>
    <d v="2023-07-16T00:00:00"/>
    <n v="270"/>
    <n v="321"/>
    <x v="0"/>
    <n v="249"/>
  </r>
  <r>
    <n v="474"/>
    <x v="473"/>
    <n v="29"/>
    <x v="0"/>
    <x v="1"/>
    <x v="1"/>
    <x v="0"/>
    <n v="9"/>
    <n v="16200"/>
    <d v="2022-09-27T00:00:00"/>
    <d v="2023-10-07T00:00:00"/>
    <n v="1350"/>
    <n v="238"/>
    <x v="0"/>
    <n v="375"/>
  </r>
  <r>
    <n v="475"/>
    <x v="474"/>
    <n v="61"/>
    <x v="0"/>
    <x v="0"/>
    <x v="1"/>
    <x v="1"/>
    <n v="1"/>
    <n v="1700"/>
    <d v="2023-08-16T00:00:00"/>
    <d v="2024-03-10T00:00:00"/>
    <n v="147"/>
    <n v="83"/>
    <x v="1"/>
    <n v="207"/>
  </r>
  <r>
    <n v="476"/>
    <x v="475"/>
    <n v="55"/>
    <x v="4"/>
    <x v="0"/>
    <x v="0"/>
    <x v="1"/>
    <n v="8"/>
    <n v="14400"/>
    <d v="2022-06-02T00:00:00"/>
    <d v="2022-12-06T00:00:00"/>
    <n v="4920"/>
    <n v="543"/>
    <x v="0"/>
    <n v="187"/>
  </r>
  <r>
    <n v="477"/>
    <x v="476"/>
    <n v="53"/>
    <x v="4"/>
    <x v="2"/>
    <x v="3"/>
    <x v="2"/>
    <n v="9"/>
    <n v="33300"/>
    <d v="2023-02-11T00:00:00"/>
    <d v="2023-08-16T00:00:00"/>
    <n v="558"/>
    <n v="290"/>
    <x v="0"/>
    <n v="186"/>
  </r>
  <r>
    <n v="478"/>
    <x v="477"/>
    <n v="29"/>
    <x v="7"/>
    <x v="1"/>
    <x v="3"/>
    <x v="1"/>
    <n v="8"/>
    <n v="13600"/>
    <d v="2022-07-03T00:00:00"/>
    <d v="2023-04-18T00:00:00"/>
    <n v="528"/>
    <n v="410"/>
    <x v="0"/>
    <n v="289"/>
  </r>
  <r>
    <n v="479"/>
    <x v="478"/>
    <n v="35"/>
    <x v="6"/>
    <x v="3"/>
    <x v="0"/>
    <x v="0"/>
    <n v="8"/>
    <n v="100800"/>
    <d v="2022-03-06T00:00:00"/>
    <d v="2022-07-19T00:00:00"/>
    <n v="4904"/>
    <n v="683"/>
    <x v="0"/>
    <n v="135"/>
  </r>
  <r>
    <n v="480"/>
    <x v="479"/>
    <n v="44"/>
    <x v="4"/>
    <x v="0"/>
    <x v="3"/>
    <x v="1"/>
    <n v="7"/>
    <n v="10500"/>
    <d v="2023-04-11T00:00:00"/>
    <d v="2024-07-05T00:00:00"/>
    <n v="224"/>
    <n v="-34"/>
    <x v="1"/>
    <n v="451"/>
  </r>
  <r>
    <n v="481"/>
    <x v="480"/>
    <n v="61"/>
    <x v="7"/>
    <x v="2"/>
    <x v="1"/>
    <x v="1"/>
    <n v="5"/>
    <n v="49000"/>
    <d v="2022-09-27T00:00:00"/>
    <d v="2023-07-20T00:00:00"/>
    <n v="720"/>
    <n v="317"/>
    <x v="0"/>
    <n v="296"/>
  </r>
  <r>
    <n v="482"/>
    <x v="481"/>
    <n v="58"/>
    <x v="6"/>
    <x v="3"/>
    <x v="2"/>
    <x v="0"/>
    <n v="2"/>
    <n v="43800"/>
    <d v="2022-09-15T00:00:00"/>
    <d v="2023-03-26T00:00:00"/>
    <n v="48"/>
    <n v="433"/>
    <x v="0"/>
    <n v="192"/>
  </r>
  <r>
    <n v="483"/>
    <x v="482"/>
    <n v="51"/>
    <x v="1"/>
    <x v="2"/>
    <x v="0"/>
    <x v="2"/>
    <n v="10"/>
    <n v="31000"/>
    <d v="2023-05-29T00:00:00"/>
    <d v="2024-08-22T00:00:00"/>
    <n v="5980"/>
    <n v="-82"/>
    <x v="1"/>
    <n v="451"/>
  </r>
  <r>
    <n v="484"/>
    <x v="483"/>
    <n v="53"/>
    <x v="5"/>
    <x v="1"/>
    <x v="3"/>
    <x v="0"/>
    <n v="5"/>
    <n v="9500"/>
    <d v="2022-06-03T00:00:00"/>
    <d v="2022-09-06T00:00:00"/>
    <n v="200"/>
    <n v="634"/>
    <x v="0"/>
    <n v="95"/>
  </r>
  <r>
    <n v="485"/>
    <x v="484"/>
    <n v="42"/>
    <x v="2"/>
    <x v="0"/>
    <x v="3"/>
    <x v="2"/>
    <n v="2"/>
    <n v="3000"/>
    <d v="2023-05-06T00:00:00"/>
    <d v="2024-01-06T00:00:00"/>
    <n v="86"/>
    <n v="147"/>
    <x v="1"/>
    <n v="245"/>
  </r>
  <r>
    <n v="486"/>
    <x v="485"/>
    <n v="23"/>
    <x v="6"/>
    <x v="3"/>
    <x v="1"/>
    <x v="0"/>
    <n v="3"/>
    <n v="71400"/>
    <d v="2022-06-14T00:00:00"/>
    <d v="2022-08-21T00:00:00"/>
    <n v="450"/>
    <n v="650"/>
    <x v="0"/>
    <n v="68"/>
  </r>
  <r>
    <n v="487"/>
    <x v="486"/>
    <n v="37"/>
    <x v="7"/>
    <x v="1"/>
    <x v="1"/>
    <x v="0"/>
    <n v="3"/>
    <n v="9300"/>
    <d v="2023-02-20T00:00:00"/>
    <d v="2023-12-23T00:00:00"/>
    <n v="438"/>
    <n v="161"/>
    <x v="1"/>
    <n v="306"/>
  </r>
  <r>
    <n v="488"/>
    <x v="487"/>
    <n v="49"/>
    <x v="7"/>
    <x v="2"/>
    <x v="1"/>
    <x v="0"/>
    <n v="10"/>
    <n v="69000"/>
    <d v="2023-05-09T00:00:00"/>
    <d v="2023-08-04T00:00:00"/>
    <n v="1240"/>
    <n v="302"/>
    <x v="0"/>
    <n v="87"/>
  </r>
  <r>
    <n v="489"/>
    <x v="488"/>
    <n v="63"/>
    <x v="1"/>
    <x v="1"/>
    <x v="3"/>
    <x v="1"/>
    <n v="9"/>
    <n v="18900"/>
    <d v="2022-06-21T00:00:00"/>
    <d v="2023-06-26T00:00:00"/>
    <n v="459"/>
    <n v="341"/>
    <x v="0"/>
    <n v="370"/>
  </r>
  <r>
    <n v="490"/>
    <x v="489"/>
    <n v="45"/>
    <x v="5"/>
    <x v="0"/>
    <x v="3"/>
    <x v="2"/>
    <n v="3"/>
    <n v="2100"/>
    <d v="2022-01-17T00:00:00"/>
    <d v="2022-04-30T00:00:00"/>
    <n v="189"/>
    <n v="763"/>
    <x v="0"/>
    <n v="103"/>
  </r>
  <r>
    <n v="491"/>
    <x v="490"/>
    <n v="51"/>
    <x v="1"/>
    <x v="1"/>
    <x v="1"/>
    <x v="0"/>
    <n v="10"/>
    <n v="35000"/>
    <d v="2022-02-09T00:00:00"/>
    <d v="2023-05-04T00:00:00"/>
    <n v="1440"/>
    <n v="394"/>
    <x v="0"/>
    <n v="449"/>
  </r>
  <r>
    <n v="492"/>
    <x v="491"/>
    <n v="59"/>
    <x v="0"/>
    <x v="0"/>
    <x v="2"/>
    <x v="0"/>
    <n v="9"/>
    <n v="4500"/>
    <d v="2023-03-18T00:00:00"/>
    <d v="2023-12-10T00:00:00"/>
    <n v="324"/>
    <n v="174"/>
    <x v="1"/>
    <n v="267"/>
  </r>
  <r>
    <n v="493"/>
    <x v="492"/>
    <n v="51"/>
    <x v="2"/>
    <x v="0"/>
    <x v="2"/>
    <x v="0"/>
    <n v="7"/>
    <n v="8400"/>
    <d v="2023-08-13T00:00:00"/>
    <d v="2023-10-02T00:00:00"/>
    <n v="259"/>
    <n v="243"/>
    <x v="0"/>
    <n v="50"/>
  </r>
  <r>
    <n v="494"/>
    <x v="493"/>
    <n v="26"/>
    <x v="6"/>
    <x v="2"/>
    <x v="2"/>
    <x v="0"/>
    <n v="5"/>
    <n v="39500"/>
    <d v="2023-07-11T00:00:00"/>
    <d v="2024-02-05T00:00:00"/>
    <n v="130"/>
    <n v="117"/>
    <x v="1"/>
    <n v="209"/>
  </r>
  <r>
    <n v="495"/>
    <x v="494"/>
    <n v="54"/>
    <x v="4"/>
    <x v="0"/>
    <x v="1"/>
    <x v="1"/>
    <n v="2"/>
    <n v="3200"/>
    <d v="2022-01-08T00:00:00"/>
    <d v="2022-07-19T00:00:00"/>
    <n v="246"/>
    <n v="683"/>
    <x v="0"/>
    <n v="192"/>
  </r>
  <r>
    <n v="496"/>
    <x v="495"/>
    <n v="30"/>
    <x v="2"/>
    <x v="3"/>
    <x v="0"/>
    <x v="0"/>
    <n v="7"/>
    <n v="169400"/>
    <d v="2022-09-17T00:00:00"/>
    <d v="2023-01-28T00:00:00"/>
    <n v="4368"/>
    <n v="490"/>
    <x v="0"/>
    <n v="133"/>
  </r>
  <r>
    <n v="497"/>
    <x v="496"/>
    <n v="34"/>
    <x v="1"/>
    <x v="2"/>
    <x v="0"/>
    <x v="2"/>
    <n v="7"/>
    <n v="52500"/>
    <d v="2023-07-25T00:00:00"/>
    <d v="2024-03-28T00:00:00"/>
    <n v="4207"/>
    <n v="65"/>
    <x v="1"/>
    <n v="247"/>
  </r>
  <r>
    <n v="498"/>
    <x v="497"/>
    <n v="57"/>
    <x v="2"/>
    <x v="3"/>
    <x v="0"/>
    <x v="0"/>
    <n v="6"/>
    <n v="108000"/>
    <d v="2022-05-22T00:00:00"/>
    <d v="2023-08-02T00:00:00"/>
    <n v="3582"/>
    <n v="304"/>
    <x v="0"/>
    <n v="437"/>
  </r>
  <r>
    <n v="499"/>
    <x v="498"/>
    <n v="34"/>
    <x v="4"/>
    <x v="3"/>
    <x v="3"/>
    <x v="0"/>
    <n v="9"/>
    <n v="162900"/>
    <d v="2022-12-13T00:00:00"/>
    <d v="2024-01-27T00:00:00"/>
    <n v="585"/>
    <n v="126"/>
    <x v="1"/>
    <n v="410"/>
  </r>
  <r>
    <n v="500"/>
    <x v="499"/>
    <n v="26"/>
    <x v="7"/>
    <x v="1"/>
    <x v="2"/>
    <x v="0"/>
    <n v="3"/>
    <n v="8700"/>
    <d v="2023-03-22T00:00:00"/>
    <d v="2023-05-06T00:00:00"/>
    <n v="42"/>
    <n v="392"/>
    <x v="0"/>
    <n v="45"/>
  </r>
  <r>
    <n v="501"/>
    <x v="500"/>
    <n v="59"/>
    <x v="3"/>
    <x v="1"/>
    <x v="0"/>
    <x v="0"/>
    <n v="1"/>
    <n v="4000"/>
    <d v="2023-01-29T00:00:00"/>
    <d v="2024-05-19T00:00:00"/>
    <n v="615"/>
    <n v="13"/>
    <x v="1"/>
    <n v="476"/>
  </r>
  <r>
    <n v="502"/>
    <x v="501"/>
    <n v="49"/>
    <x v="3"/>
    <x v="0"/>
    <x v="3"/>
    <x v="2"/>
    <n v="1"/>
    <n v="900"/>
    <d v="2023-06-15T00:00:00"/>
    <d v="2023-11-08T00:00:00"/>
    <n v="42"/>
    <n v="206"/>
    <x v="0"/>
    <n v="146"/>
  </r>
  <r>
    <n v="503"/>
    <x v="502"/>
    <n v="44"/>
    <x v="7"/>
    <x v="1"/>
    <x v="3"/>
    <x v="0"/>
    <n v="4"/>
    <n v="14800"/>
    <d v="2022-01-01T00:00:00"/>
    <d v="2023-05-15T00:00:00"/>
    <n v="160"/>
    <n v="383"/>
    <x v="0"/>
    <n v="499"/>
  </r>
  <r>
    <n v="504"/>
    <x v="503"/>
    <n v="63"/>
    <x v="0"/>
    <x v="2"/>
    <x v="2"/>
    <x v="0"/>
    <n v="7"/>
    <n v="44100"/>
    <d v="2023-08-24T00:00:00"/>
    <d v="2023-12-04T00:00:00"/>
    <n v="301"/>
    <n v="180"/>
    <x v="1"/>
    <n v="102"/>
  </r>
  <r>
    <n v="505"/>
    <x v="504"/>
    <n v="39"/>
    <x v="7"/>
    <x v="0"/>
    <x v="1"/>
    <x v="1"/>
    <n v="9"/>
    <n v="15300"/>
    <d v="2022-12-23T00:00:00"/>
    <d v="2023-06-18T00:00:00"/>
    <n v="1143"/>
    <n v="349"/>
    <x v="0"/>
    <n v="177"/>
  </r>
  <r>
    <n v="506"/>
    <x v="505"/>
    <n v="57"/>
    <x v="4"/>
    <x v="1"/>
    <x v="2"/>
    <x v="2"/>
    <n v="1"/>
    <n v="2100"/>
    <d v="2022-06-29T00:00:00"/>
    <d v="2023-01-23T00:00:00"/>
    <n v="42"/>
    <n v="495"/>
    <x v="0"/>
    <n v="208"/>
  </r>
  <r>
    <n v="507"/>
    <x v="506"/>
    <n v="28"/>
    <x v="0"/>
    <x v="0"/>
    <x v="0"/>
    <x v="0"/>
    <n v="9"/>
    <n v="9000"/>
    <d v="2023-07-05T00:00:00"/>
    <d v="2024-08-24T00:00:00"/>
    <n v="5634"/>
    <n v="-84"/>
    <x v="1"/>
    <n v="416"/>
  </r>
  <r>
    <n v="508"/>
    <x v="507"/>
    <n v="51"/>
    <x v="3"/>
    <x v="3"/>
    <x v="2"/>
    <x v="1"/>
    <n v="4"/>
    <n v="64400"/>
    <d v="2023-04-15T00:00:00"/>
    <d v="2024-03-28T00:00:00"/>
    <n v="156"/>
    <n v="65"/>
    <x v="1"/>
    <n v="348"/>
  </r>
  <r>
    <n v="509"/>
    <x v="508"/>
    <n v="25"/>
    <x v="7"/>
    <x v="3"/>
    <x v="1"/>
    <x v="0"/>
    <n v="7"/>
    <n v="85400"/>
    <d v="2022-08-24T00:00:00"/>
    <d v="2023-10-07T00:00:00"/>
    <n v="910"/>
    <n v="238"/>
    <x v="0"/>
    <n v="409"/>
  </r>
  <r>
    <n v="510"/>
    <x v="509"/>
    <n v="36"/>
    <x v="1"/>
    <x v="2"/>
    <x v="1"/>
    <x v="0"/>
    <n v="5"/>
    <n v="19000"/>
    <d v="2023-02-13T00:00:00"/>
    <d v="2024-01-23T00:00:00"/>
    <n v="655"/>
    <n v="130"/>
    <x v="1"/>
    <n v="344"/>
  </r>
  <r>
    <n v="511"/>
    <x v="510"/>
    <n v="43"/>
    <x v="0"/>
    <x v="1"/>
    <x v="2"/>
    <x v="0"/>
    <n v="4"/>
    <n v="18800"/>
    <d v="2023-08-11T00:00:00"/>
    <d v="2023-12-26T00:00:00"/>
    <n v="84"/>
    <n v="158"/>
    <x v="1"/>
    <n v="137"/>
  </r>
  <r>
    <n v="512"/>
    <x v="511"/>
    <n v="36"/>
    <x v="4"/>
    <x v="3"/>
    <x v="3"/>
    <x v="0"/>
    <n v="5"/>
    <n v="59000"/>
    <d v="2022-08-23T00:00:00"/>
    <d v="2022-12-04T00:00:00"/>
    <n v="225"/>
    <n v="545"/>
    <x v="0"/>
    <n v="103"/>
  </r>
  <r>
    <n v="513"/>
    <x v="512"/>
    <n v="26"/>
    <x v="2"/>
    <x v="1"/>
    <x v="1"/>
    <x v="0"/>
    <n v="8"/>
    <n v="28000"/>
    <d v="2022-01-07T00:00:00"/>
    <d v="2023-02-02T00:00:00"/>
    <n v="1152"/>
    <n v="485"/>
    <x v="0"/>
    <n v="391"/>
  </r>
  <r>
    <n v="514"/>
    <x v="513"/>
    <n v="41"/>
    <x v="7"/>
    <x v="3"/>
    <x v="0"/>
    <x v="1"/>
    <n v="8"/>
    <n v="190400"/>
    <d v="2022-10-09T00:00:00"/>
    <d v="2023-06-17T00:00:00"/>
    <n v="4808"/>
    <n v="350"/>
    <x v="0"/>
    <n v="251"/>
  </r>
  <r>
    <n v="515"/>
    <x v="514"/>
    <n v="29"/>
    <x v="3"/>
    <x v="3"/>
    <x v="3"/>
    <x v="1"/>
    <n v="1"/>
    <n v="22200"/>
    <d v="2023-03-10T00:00:00"/>
    <d v="2023-11-09T00:00:00"/>
    <n v="64"/>
    <n v="205"/>
    <x v="0"/>
    <n v="244"/>
  </r>
  <r>
    <n v="516"/>
    <x v="515"/>
    <n v="50"/>
    <x v="7"/>
    <x v="2"/>
    <x v="2"/>
    <x v="0"/>
    <n v="2"/>
    <n v="17400"/>
    <d v="2023-06-15T00:00:00"/>
    <d v="2024-02-05T00:00:00"/>
    <n v="60"/>
    <n v="117"/>
    <x v="1"/>
    <n v="235"/>
  </r>
  <r>
    <n v="517"/>
    <x v="516"/>
    <n v="58"/>
    <x v="7"/>
    <x v="0"/>
    <x v="3"/>
    <x v="2"/>
    <n v="2"/>
    <n v="2400"/>
    <d v="2023-01-06T00:00:00"/>
    <d v="2023-11-15T00:00:00"/>
    <n v="92"/>
    <n v="199"/>
    <x v="0"/>
    <n v="313"/>
  </r>
  <r>
    <n v="518"/>
    <x v="517"/>
    <n v="51"/>
    <x v="6"/>
    <x v="2"/>
    <x v="3"/>
    <x v="0"/>
    <n v="10"/>
    <n v="58000"/>
    <d v="2023-01-10T00:00:00"/>
    <d v="2023-04-14T00:00:00"/>
    <n v="610"/>
    <n v="414"/>
    <x v="0"/>
    <n v="94"/>
  </r>
  <r>
    <n v="519"/>
    <x v="518"/>
    <n v="44"/>
    <x v="1"/>
    <x v="1"/>
    <x v="2"/>
    <x v="0"/>
    <n v="7"/>
    <n v="14700"/>
    <d v="2023-04-07T00:00:00"/>
    <d v="2023-07-08T00:00:00"/>
    <n v="322"/>
    <n v="329"/>
    <x v="0"/>
    <n v="92"/>
  </r>
  <r>
    <n v="520"/>
    <x v="519"/>
    <n v="36"/>
    <x v="6"/>
    <x v="1"/>
    <x v="1"/>
    <x v="0"/>
    <n v="9"/>
    <n v="25200"/>
    <d v="2023-01-26T00:00:00"/>
    <d v="2023-05-06T00:00:00"/>
    <n v="1071"/>
    <n v="392"/>
    <x v="0"/>
    <n v="100"/>
  </r>
  <r>
    <n v="521"/>
    <x v="520"/>
    <n v="47"/>
    <x v="6"/>
    <x v="3"/>
    <x v="1"/>
    <x v="0"/>
    <n v="8"/>
    <n v="75200"/>
    <d v="2023-06-14T00:00:00"/>
    <d v="2024-03-13T00:00:00"/>
    <n v="1040"/>
    <n v="80"/>
    <x v="1"/>
    <n v="273"/>
  </r>
  <r>
    <n v="522"/>
    <x v="521"/>
    <n v="57"/>
    <x v="5"/>
    <x v="2"/>
    <x v="0"/>
    <x v="1"/>
    <n v="1"/>
    <n v="6300"/>
    <d v="2022-04-12T00:00:00"/>
    <d v="2023-03-31T00:00:00"/>
    <n v="600"/>
    <n v="428"/>
    <x v="0"/>
    <n v="353"/>
  </r>
  <r>
    <n v="523"/>
    <x v="522"/>
    <n v="61"/>
    <x v="7"/>
    <x v="1"/>
    <x v="0"/>
    <x v="2"/>
    <n v="2"/>
    <n v="5600"/>
    <d v="2022-12-09T00:00:00"/>
    <d v="2023-04-21T00:00:00"/>
    <n v="1226"/>
    <n v="407"/>
    <x v="0"/>
    <n v="133"/>
  </r>
  <r>
    <n v="524"/>
    <x v="523"/>
    <n v="47"/>
    <x v="2"/>
    <x v="2"/>
    <x v="0"/>
    <x v="0"/>
    <n v="2"/>
    <n v="11800"/>
    <d v="2022-07-23T00:00:00"/>
    <d v="2023-05-14T00:00:00"/>
    <n v="1252"/>
    <n v="384"/>
    <x v="0"/>
    <n v="295"/>
  </r>
  <r>
    <n v="525"/>
    <x v="524"/>
    <n v="64"/>
    <x v="6"/>
    <x v="2"/>
    <x v="0"/>
    <x v="0"/>
    <n v="9"/>
    <n v="63000"/>
    <d v="2023-04-03T00:00:00"/>
    <d v="2024-07-01T00:00:00"/>
    <n v="5355"/>
    <n v="-30"/>
    <x v="1"/>
    <n v="455"/>
  </r>
  <r>
    <n v="526"/>
    <x v="525"/>
    <n v="31"/>
    <x v="1"/>
    <x v="2"/>
    <x v="2"/>
    <x v="0"/>
    <n v="6"/>
    <n v="39000"/>
    <d v="2023-08-09T00:00:00"/>
    <d v="2024-03-03T00:00:00"/>
    <n v="84"/>
    <n v="90"/>
    <x v="1"/>
    <n v="207"/>
  </r>
  <r>
    <n v="527"/>
    <x v="526"/>
    <n v="41"/>
    <x v="0"/>
    <x v="1"/>
    <x v="0"/>
    <x v="0"/>
    <n v="6"/>
    <n v="22200"/>
    <d v="2022-10-26T00:00:00"/>
    <d v="2023-10-24T00:00:00"/>
    <n v="3642"/>
    <n v="221"/>
    <x v="0"/>
    <n v="363"/>
  </r>
  <r>
    <n v="528"/>
    <x v="527"/>
    <n v="58"/>
    <x v="1"/>
    <x v="2"/>
    <x v="2"/>
    <x v="0"/>
    <n v="9"/>
    <n v="60300"/>
    <d v="2023-02-28T00:00:00"/>
    <d v="2023-05-24T00:00:00"/>
    <n v="189"/>
    <n v="374"/>
    <x v="0"/>
    <n v="85"/>
  </r>
  <r>
    <n v="529"/>
    <x v="528"/>
    <n v="65"/>
    <x v="7"/>
    <x v="1"/>
    <x v="3"/>
    <x v="0"/>
    <n v="2"/>
    <n v="3800"/>
    <d v="2022-06-20T00:00:00"/>
    <d v="2023-01-09T00:00:00"/>
    <n v="72"/>
    <n v="509"/>
    <x v="0"/>
    <n v="203"/>
  </r>
  <r>
    <n v="530"/>
    <x v="529"/>
    <n v="24"/>
    <x v="0"/>
    <x v="0"/>
    <x v="2"/>
    <x v="1"/>
    <n v="1"/>
    <n v="1300"/>
    <d v="2023-06-21T00:00:00"/>
    <d v="2024-07-16T00:00:00"/>
    <n v="15"/>
    <n v="-45"/>
    <x v="1"/>
    <n v="391"/>
  </r>
  <r>
    <n v="531"/>
    <x v="530"/>
    <n v="62"/>
    <x v="0"/>
    <x v="2"/>
    <x v="3"/>
    <x v="0"/>
    <n v="7"/>
    <n v="38500"/>
    <d v="2022-08-23T00:00:00"/>
    <d v="2022-12-27T00:00:00"/>
    <n v="336"/>
    <n v="522"/>
    <x v="0"/>
    <n v="126"/>
  </r>
  <r>
    <n v="532"/>
    <x v="531"/>
    <n v="31"/>
    <x v="5"/>
    <x v="1"/>
    <x v="3"/>
    <x v="1"/>
    <n v="1"/>
    <n v="1100"/>
    <d v="2023-01-01T00:00:00"/>
    <d v="2024-03-16T00:00:00"/>
    <n v="50"/>
    <n v="77"/>
    <x v="1"/>
    <n v="440"/>
  </r>
  <r>
    <n v="533"/>
    <x v="532"/>
    <n v="49"/>
    <x v="5"/>
    <x v="3"/>
    <x v="0"/>
    <x v="1"/>
    <n v="3"/>
    <n v="68100"/>
    <d v="2022-07-01T00:00:00"/>
    <d v="2023-04-29T00:00:00"/>
    <n v="1884"/>
    <n v="399"/>
    <x v="0"/>
    <n v="302"/>
  </r>
  <r>
    <n v="534"/>
    <x v="533"/>
    <n v="51"/>
    <x v="5"/>
    <x v="3"/>
    <x v="0"/>
    <x v="0"/>
    <n v="9"/>
    <n v="111600"/>
    <d v="2022-04-02T00:00:00"/>
    <d v="2022-11-14T00:00:00"/>
    <n v="5481"/>
    <n v="565"/>
    <x v="0"/>
    <n v="226"/>
  </r>
  <r>
    <n v="535"/>
    <x v="534"/>
    <n v="40"/>
    <x v="2"/>
    <x v="3"/>
    <x v="0"/>
    <x v="0"/>
    <n v="1"/>
    <n v="5000"/>
    <d v="2023-06-20T00:00:00"/>
    <d v="2024-08-10T00:00:00"/>
    <n v="598"/>
    <n v="-70"/>
    <x v="1"/>
    <n v="417"/>
  </r>
  <r>
    <n v="536"/>
    <x v="535"/>
    <n v="21"/>
    <x v="2"/>
    <x v="2"/>
    <x v="2"/>
    <x v="1"/>
    <n v="8"/>
    <n v="73600"/>
    <d v="2023-05-04T00:00:00"/>
    <d v="2023-10-04T00:00:00"/>
    <n v="80"/>
    <n v="241"/>
    <x v="0"/>
    <n v="153"/>
  </r>
  <r>
    <n v="537"/>
    <x v="536"/>
    <n v="56"/>
    <x v="1"/>
    <x v="2"/>
    <x v="3"/>
    <x v="0"/>
    <n v="6"/>
    <n v="27000"/>
    <d v="2023-02-26T00:00:00"/>
    <d v="2024-05-22T00:00:00"/>
    <n v="390"/>
    <n v="10"/>
    <x v="1"/>
    <n v="451"/>
  </r>
  <r>
    <n v="538"/>
    <x v="537"/>
    <n v="62"/>
    <x v="1"/>
    <x v="3"/>
    <x v="3"/>
    <x v="0"/>
    <n v="7"/>
    <n v="121800"/>
    <d v="2022-08-14T00:00:00"/>
    <d v="2022-12-26T00:00:00"/>
    <n v="245"/>
    <n v="523"/>
    <x v="0"/>
    <n v="134"/>
  </r>
  <r>
    <n v="539"/>
    <x v="538"/>
    <n v="62"/>
    <x v="1"/>
    <x v="1"/>
    <x v="0"/>
    <x v="0"/>
    <n v="9"/>
    <n v="38700"/>
    <d v="2022-10-03T00:00:00"/>
    <d v="2023-05-02T00:00:00"/>
    <n v="5418"/>
    <n v="396"/>
    <x v="0"/>
    <n v="211"/>
  </r>
  <r>
    <n v="540"/>
    <x v="539"/>
    <n v="28"/>
    <x v="0"/>
    <x v="1"/>
    <x v="3"/>
    <x v="0"/>
    <n v="8"/>
    <n v="28000"/>
    <d v="2023-04-09T00:00:00"/>
    <d v="2023-08-26T00:00:00"/>
    <n v="552"/>
    <n v="280"/>
    <x v="0"/>
    <n v="139"/>
  </r>
  <r>
    <n v="541"/>
    <x v="540"/>
    <n v="30"/>
    <x v="5"/>
    <x v="1"/>
    <x v="0"/>
    <x v="0"/>
    <n v="1"/>
    <n v="5000"/>
    <d v="2023-07-02T00:00:00"/>
    <d v="2023-07-13T00:00:00"/>
    <n v="601"/>
    <n v="324"/>
    <x v="0"/>
    <n v="11"/>
  </r>
  <r>
    <n v="542"/>
    <x v="541"/>
    <n v="49"/>
    <x v="0"/>
    <x v="2"/>
    <x v="0"/>
    <x v="0"/>
    <n v="1"/>
    <n v="4900"/>
    <d v="2022-04-03T00:00:00"/>
    <d v="2022-06-19T00:00:00"/>
    <n v="590"/>
    <n v="713"/>
    <x v="0"/>
    <n v="77"/>
  </r>
  <r>
    <n v="543"/>
    <x v="542"/>
    <n v="40"/>
    <x v="5"/>
    <x v="1"/>
    <x v="0"/>
    <x v="2"/>
    <n v="8"/>
    <n v="20000"/>
    <d v="2023-04-20T00:00:00"/>
    <d v="2024-04-10T00:00:00"/>
    <n v="4736"/>
    <n v="52"/>
    <x v="1"/>
    <n v="356"/>
  </r>
  <r>
    <n v="544"/>
    <x v="543"/>
    <n v="38"/>
    <x v="2"/>
    <x v="0"/>
    <x v="3"/>
    <x v="0"/>
    <n v="7"/>
    <n v="4200"/>
    <d v="2023-07-11T00:00:00"/>
    <d v="2024-03-07T00:00:00"/>
    <n v="287"/>
    <n v="86"/>
    <x v="1"/>
    <n v="240"/>
  </r>
  <r>
    <n v="545"/>
    <x v="544"/>
    <n v="28"/>
    <x v="4"/>
    <x v="2"/>
    <x v="2"/>
    <x v="0"/>
    <n v="4"/>
    <n v="24800"/>
    <d v="2023-03-30T00:00:00"/>
    <d v="2023-08-03T00:00:00"/>
    <n v="48"/>
    <n v="303"/>
    <x v="0"/>
    <n v="126"/>
  </r>
  <r>
    <n v="546"/>
    <x v="545"/>
    <n v="63"/>
    <x v="4"/>
    <x v="3"/>
    <x v="1"/>
    <x v="1"/>
    <n v="4"/>
    <n v="82000"/>
    <d v="2023-02-03T00:00:00"/>
    <d v="2024-01-17T00:00:00"/>
    <n v="516"/>
    <n v="136"/>
    <x v="1"/>
    <n v="348"/>
  </r>
  <r>
    <n v="547"/>
    <x v="546"/>
    <n v="54"/>
    <x v="2"/>
    <x v="1"/>
    <x v="1"/>
    <x v="1"/>
    <n v="2"/>
    <n v="4000"/>
    <d v="2023-05-08T00:00:00"/>
    <d v="2024-03-29T00:00:00"/>
    <n v="258"/>
    <n v="64"/>
    <x v="1"/>
    <n v="326"/>
  </r>
  <r>
    <n v="548"/>
    <x v="547"/>
    <n v="28"/>
    <x v="4"/>
    <x v="2"/>
    <x v="1"/>
    <x v="0"/>
    <n v="4"/>
    <n v="32800"/>
    <d v="2023-03-21T00:00:00"/>
    <d v="2023-09-03T00:00:00"/>
    <n v="440"/>
    <n v="272"/>
    <x v="0"/>
    <n v="166"/>
  </r>
  <r>
    <n v="549"/>
    <x v="548"/>
    <n v="36"/>
    <x v="6"/>
    <x v="2"/>
    <x v="1"/>
    <x v="2"/>
    <n v="1"/>
    <n v="3300"/>
    <d v="2023-08-19T00:00:00"/>
    <d v="2024-09-23T00:00:00"/>
    <n v="140"/>
    <n v="-114"/>
    <x v="1"/>
    <n v="401"/>
  </r>
  <r>
    <n v="550"/>
    <x v="549"/>
    <n v="31"/>
    <x v="6"/>
    <x v="2"/>
    <x v="1"/>
    <x v="0"/>
    <n v="8"/>
    <n v="29600"/>
    <d v="2022-12-13T00:00:00"/>
    <d v="2024-04-02T00:00:00"/>
    <n v="1200"/>
    <n v="60"/>
    <x v="1"/>
    <n v="476"/>
  </r>
  <r>
    <n v="551"/>
    <x v="550"/>
    <n v="65"/>
    <x v="7"/>
    <x v="0"/>
    <x v="0"/>
    <x v="0"/>
    <n v="9"/>
    <n v="6300"/>
    <d v="2022-05-09T00:00:00"/>
    <d v="2023-01-13T00:00:00"/>
    <n v="5436"/>
    <n v="505"/>
    <x v="0"/>
    <n v="249"/>
  </r>
  <r>
    <n v="552"/>
    <x v="551"/>
    <n v="22"/>
    <x v="2"/>
    <x v="2"/>
    <x v="2"/>
    <x v="0"/>
    <n v="7"/>
    <n v="41300"/>
    <d v="2022-05-18T00:00:00"/>
    <d v="2022-09-23T00:00:00"/>
    <n v="84"/>
    <n v="617"/>
    <x v="0"/>
    <n v="128"/>
  </r>
  <r>
    <n v="553"/>
    <x v="552"/>
    <n v="65"/>
    <x v="5"/>
    <x v="3"/>
    <x v="0"/>
    <x v="1"/>
    <n v="8"/>
    <n v="89600"/>
    <d v="2023-08-04T00:00:00"/>
    <d v="2023-11-07T00:00:00"/>
    <n v="4992"/>
    <n v="207"/>
    <x v="0"/>
    <n v="95"/>
  </r>
  <r>
    <n v="554"/>
    <x v="553"/>
    <n v="59"/>
    <x v="2"/>
    <x v="2"/>
    <x v="2"/>
    <x v="0"/>
    <n v="9"/>
    <n v="38700"/>
    <d v="2022-03-12T00:00:00"/>
    <d v="2022-12-08T00:00:00"/>
    <n v="171"/>
    <n v="541"/>
    <x v="0"/>
    <n v="271"/>
  </r>
  <r>
    <n v="555"/>
    <x v="554"/>
    <n v="44"/>
    <x v="5"/>
    <x v="2"/>
    <x v="0"/>
    <x v="1"/>
    <n v="8"/>
    <n v="24000"/>
    <d v="2023-06-03T00:00:00"/>
    <d v="2023-12-14T00:00:00"/>
    <n v="4808"/>
    <n v="170"/>
    <x v="1"/>
    <n v="194"/>
  </r>
  <r>
    <n v="556"/>
    <x v="555"/>
    <n v="25"/>
    <x v="7"/>
    <x v="2"/>
    <x v="3"/>
    <x v="0"/>
    <n v="9"/>
    <n v="87300"/>
    <d v="2023-02-01T00:00:00"/>
    <d v="2023-05-09T00:00:00"/>
    <n v="567"/>
    <n v="389"/>
    <x v="0"/>
    <n v="97"/>
  </r>
  <r>
    <n v="557"/>
    <x v="556"/>
    <n v="47"/>
    <x v="5"/>
    <x v="1"/>
    <x v="0"/>
    <x v="0"/>
    <n v="6"/>
    <n v="9000"/>
    <d v="2022-04-09T00:00:00"/>
    <d v="2023-01-01T00:00:00"/>
    <n v="3564"/>
    <n v="517"/>
    <x v="0"/>
    <n v="267"/>
  </r>
  <r>
    <n v="558"/>
    <x v="557"/>
    <n v="33"/>
    <x v="7"/>
    <x v="1"/>
    <x v="3"/>
    <x v="0"/>
    <n v="2"/>
    <n v="6000"/>
    <d v="2022-07-16T00:00:00"/>
    <d v="2022-09-04T00:00:00"/>
    <n v="64"/>
    <n v="636"/>
    <x v="0"/>
    <n v="50"/>
  </r>
  <r>
    <n v="559"/>
    <x v="558"/>
    <n v="44"/>
    <x v="1"/>
    <x v="3"/>
    <x v="0"/>
    <x v="0"/>
    <n v="4"/>
    <n v="99600"/>
    <d v="2022-03-14T00:00:00"/>
    <d v="2022-03-20T00:00:00"/>
    <n v="2412"/>
    <n v="804"/>
    <x v="0"/>
    <n v="6"/>
  </r>
  <r>
    <n v="560"/>
    <x v="559"/>
    <n v="44"/>
    <x v="5"/>
    <x v="0"/>
    <x v="2"/>
    <x v="0"/>
    <n v="9"/>
    <n v="12600"/>
    <d v="2023-01-13T00:00:00"/>
    <d v="2024-02-23T00:00:00"/>
    <n v="117"/>
    <n v="99"/>
    <x v="1"/>
    <n v="406"/>
  </r>
  <r>
    <n v="561"/>
    <x v="560"/>
    <n v="25"/>
    <x v="3"/>
    <x v="0"/>
    <x v="1"/>
    <x v="0"/>
    <n v="4"/>
    <n v="6400"/>
    <d v="2022-04-10T00:00:00"/>
    <d v="2022-05-31T00:00:00"/>
    <n v="496"/>
    <n v="732"/>
    <x v="0"/>
    <n v="51"/>
  </r>
  <r>
    <n v="562"/>
    <x v="561"/>
    <n v="63"/>
    <x v="1"/>
    <x v="1"/>
    <x v="3"/>
    <x v="1"/>
    <n v="4"/>
    <n v="13200"/>
    <d v="2022-07-03T00:00:00"/>
    <d v="2023-04-14T00:00:00"/>
    <n v="260"/>
    <n v="414"/>
    <x v="0"/>
    <n v="285"/>
  </r>
  <r>
    <n v="563"/>
    <x v="562"/>
    <n v="65"/>
    <x v="1"/>
    <x v="0"/>
    <x v="0"/>
    <x v="2"/>
    <n v="7"/>
    <n v="4900"/>
    <d v="2022-06-20T00:00:00"/>
    <d v="2023-07-30T00:00:00"/>
    <n v="4207"/>
    <n v="307"/>
    <x v="0"/>
    <n v="405"/>
  </r>
  <r>
    <n v="564"/>
    <x v="563"/>
    <n v="59"/>
    <x v="1"/>
    <x v="2"/>
    <x v="3"/>
    <x v="1"/>
    <n v="8"/>
    <n v="47200"/>
    <d v="2022-11-19T00:00:00"/>
    <d v="2023-08-27T00:00:00"/>
    <n v="400"/>
    <n v="279"/>
    <x v="0"/>
    <n v="281"/>
  </r>
  <r>
    <n v="565"/>
    <x v="564"/>
    <n v="59"/>
    <x v="2"/>
    <x v="3"/>
    <x v="2"/>
    <x v="0"/>
    <n v="4"/>
    <n v="94000"/>
    <d v="2023-07-13T00:00:00"/>
    <d v="2023-10-30T00:00:00"/>
    <n v="136"/>
    <n v="215"/>
    <x v="0"/>
    <n v="109"/>
  </r>
  <r>
    <n v="566"/>
    <x v="565"/>
    <n v="46"/>
    <x v="3"/>
    <x v="2"/>
    <x v="2"/>
    <x v="2"/>
    <n v="1"/>
    <n v="8900"/>
    <d v="2022-02-05T00:00:00"/>
    <d v="2022-06-30T00:00:00"/>
    <n v="48"/>
    <n v="702"/>
    <x v="0"/>
    <n v="145"/>
  </r>
  <r>
    <n v="567"/>
    <x v="566"/>
    <n v="40"/>
    <x v="7"/>
    <x v="1"/>
    <x v="0"/>
    <x v="0"/>
    <n v="4"/>
    <n v="7600"/>
    <d v="2022-11-19T00:00:00"/>
    <d v="2022-11-30T00:00:00"/>
    <n v="2428"/>
    <n v="549"/>
    <x v="0"/>
    <n v="11"/>
  </r>
  <r>
    <n v="568"/>
    <x v="567"/>
    <n v="43"/>
    <x v="6"/>
    <x v="0"/>
    <x v="1"/>
    <x v="2"/>
    <n v="3"/>
    <n v="2400"/>
    <d v="2022-09-29T00:00:00"/>
    <d v="2023-04-04T00:00:00"/>
    <n v="441"/>
    <n v="424"/>
    <x v="0"/>
    <n v="187"/>
  </r>
  <r>
    <n v="569"/>
    <x v="568"/>
    <n v="26"/>
    <x v="4"/>
    <x v="1"/>
    <x v="0"/>
    <x v="0"/>
    <n v="10"/>
    <n v="26000"/>
    <d v="2023-08-06T00:00:00"/>
    <d v="2024-11-17T00:00:00"/>
    <n v="6030"/>
    <n v="-169"/>
    <x v="1"/>
    <n v="469"/>
  </r>
  <r>
    <n v="570"/>
    <x v="569"/>
    <n v="52"/>
    <x v="0"/>
    <x v="2"/>
    <x v="2"/>
    <x v="0"/>
    <n v="10"/>
    <n v="97000"/>
    <d v="2022-04-08T00:00:00"/>
    <d v="2023-02-06T00:00:00"/>
    <n v="290"/>
    <n v="481"/>
    <x v="0"/>
    <n v="304"/>
  </r>
  <r>
    <n v="571"/>
    <x v="570"/>
    <n v="42"/>
    <x v="7"/>
    <x v="3"/>
    <x v="1"/>
    <x v="0"/>
    <n v="6"/>
    <n v="115200"/>
    <d v="2023-03-03T00:00:00"/>
    <d v="2024-06-21T00:00:00"/>
    <n v="702"/>
    <n v="-20"/>
    <x v="1"/>
    <n v="476"/>
  </r>
  <r>
    <n v="572"/>
    <x v="571"/>
    <n v="40"/>
    <x v="4"/>
    <x v="0"/>
    <x v="2"/>
    <x v="0"/>
    <n v="9"/>
    <n v="5400"/>
    <d v="2022-11-23T00:00:00"/>
    <d v="2023-08-26T00:00:00"/>
    <n v="414"/>
    <n v="280"/>
    <x v="0"/>
    <n v="276"/>
  </r>
  <r>
    <n v="573"/>
    <x v="572"/>
    <n v="24"/>
    <x v="6"/>
    <x v="2"/>
    <x v="3"/>
    <x v="0"/>
    <n v="7"/>
    <n v="46200"/>
    <d v="2023-08-13T00:00:00"/>
    <d v="2024-04-27T00:00:00"/>
    <n v="245"/>
    <n v="35"/>
    <x v="1"/>
    <n v="258"/>
  </r>
  <r>
    <n v="574"/>
    <x v="573"/>
    <n v="30"/>
    <x v="4"/>
    <x v="3"/>
    <x v="0"/>
    <x v="2"/>
    <n v="3"/>
    <n v="48000"/>
    <d v="2022-03-26T00:00:00"/>
    <d v="2022-11-24T00:00:00"/>
    <n v="1878"/>
    <n v="555"/>
    <x v="0"/>
    <n v="243"/>
  </r>
  <r>
    <n v="575"/>
    <x v="574"/>
    <n v="46"/>
    <x v="7"/>
    <x v="3"/>
    <x v="0"/>
    <x v="0"/>
    <n v="9"/>
    <n v="172800"/>
    <d v="2022-05-14T00:00:00"/>
    <d v="2023-06-08T00:00:00"/>
    <n v="5382"/>
    <n v="359"/>
    <x v="0"/>
    <n v="390"/>
  </r>
  <r>
    <n v="576"/>
    <x v="575"/>
    <n v="62"/>
    <x v="5"/>
    <x v="1"/>
    <x v="2"/>
    <x v="2"/>
    <n v="10"/>
    <n v="18000"/>
    <d v="2023-07-29T00:00:00"/>
    <d v="2024-06-08T00:00:00"/>
    <n v="430"/>
    <n v="-7"/>
    <x v="1"/>
    <n v="315"/>
  </r>
  <r>
    <n v="577"/>
    <x v="576"/>
    <n v="48"/>
    <x v="4"/>
    <x v="1"/>
    <x v="1"/>
    <x v="0"/>
    <n v="6"/>
    <n v="22800"/>
    <d v="2023-08-13T00:00:00"/>
    <d v="2023-09-27T00:00:00"/>
    <n v="702"/>
    <n v="248"/>
    <x v="0"/>
    <n v="45"/>
  </r>
  <r>
    <n v="578"/>
    <x v="577"/>
    <n v="33"/>
    <x v="1"/>
    <x v="3"/>
    <x v="0"/>
    <x v="0"/>
    <n v="6"/>
    <n v="97800"/>
    <d v="2022-01-25T00:00:00"/>
    <d v="2023-02-23T00:00:00"/>
    <n v="3654"/>
    <n v="464"/>
    <x v="0"/>
    <n v="394"/>
  </r>
  <r>
    <n v="579"/>
    <x v="578"/>
    <n v="30"/>
    <x v="6"/>
    <x v="2"/>
    <x v="2"/>
    <x v="1"/>
    <n v="8"/>
    <n v="27200"/>
    <d v="2022-08-28T00:00:00"/>
    <d v="2022-12-08T00:00:00"/>
    <n v="264"/>
    <n v="541"/>
    <x v="0"/>
    <n v="102"/>
  </r>
  <r>
    <n v="580"/>
    <x v="579"/>
    <n v="36"/>
    <x v="6"/>
    <x v="0"/>
    <x v="1"/>
    <x v="0"/>
    <n v="10"/>
    <n v="8000"/>
    <d v="2022-10-22T00:00:00"/>
    <d v="2022-10-29T00:00:00"/>
    <n v="1310"/>
    <n v="581"/>
    <x v="0"/>
    <n v="7"/>
  </r>
  <r>
    <n v="581"/>
    <x v="580"/>
    <n v="22"/>
    <x v="0"/>
    <x v="2"/>
    <x v="2"/>
    <x v="2"/>
    <n v="6"/>
    <n v="28200"/>
    <d v="2023-07-05T00:00:00"/>
    <d v="2023-10-21T00:00:00"/>
    <n v="138"/>
    <n v="224"/>
    <x v="0"/>
    <n v="108"/>
  </r>
  <r>
    <n v="582"/>
    <x v="581"/>
    <n v="45"/>
    <x v="3"/>
    <x v="3"/>
    <x v="3"/>
    <x v="0"/>
    <n v="10"/>
    <n v="223000"/>
    <d v="2022-02-14T00:00:00"/>
    <d v="2022-06-24T00:00:00"/>
    <n v="400"/>
    <n v="708"/>
    <x v="0"/>
    <n v="130"/>
  </r>
  <r>
    <n v="583"/>
    <x v="582"/>
    <n v="38"/>
    <x v="7"/>
    <x v="2"/>
    <x v="3"/>
    <x v="1"/>
    <n v="1"/>
    <n v="6800"/>
    <d v="2022-01-09T00:00:00"/>
    <d v="2022-02-12T00:00:00"/>
    <n v="54"/>
    <n v="840"/>
    <x v="0"/>
    <n v="34"/>
  </r>
  <r>
    <n v="584"/>
    <x v="583"/>
    <n v="39"/>
    <x v="3"/>
    <x v="2"/>
    <x v="1"/>
    <x v="0"/>
    <n v="7"/>
    <n v="34300"/>
    <d v="2023-01-25T00:00:00"/>
    <d v="2023-10-12T00:00:00"/>
    <n v="812"/>
    <n v="233"/>
    <x v="0"/>
    <n v="260"/>
  </r>
  <r>
    <n v="585"/>
    <x v="584"/>
    <n v="33"/>
    <x v="2"/>
    <x v="3"/>
    <x v="1"/>
    <x v="0"/>
    <n v="9"/>
    <n v="180000"/>
    <d v="2023-07-29T00:00:00"/>
    <d v="2024-11-14T00:00:00"/>
    <n v="999"/>
    <n v="-166"/>
    <x v="1"/>
    <n v="474"/>
  </r>
  <r>
    <n v="586"/>
    <x v="585"/>
    <n v="52"/>
    <x v="7"/>
    <x v="1"/>
    <x v="0"/>
    <x v="0"/>
    <n v="7"/>
    <n v="28000"/>
    <d v="2022-06-10T00:00:00"/>
    <d v="2022-06-19T00:00:00"/>
    <n v="4284"/>
    <n v="713"/>
    <x v="0"/>
    <n v="9"/>
  </r>
  <r>
    <n v="587"/>
    <x v="586"/>
    <n v="53"/>
    <x v="2"/>
    <x v="2"/>
    <x v="0"/>
    <x v="0"/>
    <n v="5"/>
    <n v="48500"/>
    <d v="2022-03-05T00:00:00"/>
    <d v="2023-01-19T00:00:00"/>
    <n v="3030"/>
    <n v="499"/>
    <x v="0"/>
    <n v="320"/>
  </r>
  <r>
    <n v="588"/>
    <x v="587"/>
    <n v="30"/>
    <x v="1"/>
    <x v="0"/>
    <x v="0"/>
    <x v="0"/>
    <n v="6"/>
    <n v="7800"/>
    <d v="2022-05-21T00:00:00"/>
    <d v="2022-07-04T00:00:00"/>
    <n v="3684"/>
    <n v="698"/>
    <x v="0"/>
    <n v="44"/>
  </r>
  <r>
    <n v="589"/>
    <x v="588"/>
    <n v="30"/>
    <x v="4"/>
    <x v="3"/>
    <x v="3"/>
    <x v="1"/>
    <n v="7"/>
    <n v="106400"/>
    <d v="2022-12-04T00:00:00"/>
    <d v="2023-07-21T00:00:00"/>
    <n v="448"/>
    <n v="316"/>
    <x v="0"/>
    <n v="229"/>
  </r>
  <r>
    <n v="590"/>
    <x v="589"/>
    <n v="55"/>
    <x v="6"/>
    <x v="1"/>
    <x v="3"/>
    <x v="1"/>
    <n v="4"/>
    <n v="18000"/>
    <d v="2022-05-22T00:00:00"/>
    <d v="2022-10-27T00:00:00"/>
    <n v="252"/>
    <n v="583"/>
    <x v="0"/>
    <n v="158"/>
  </r>
  <r>
    <n v="591"/>
    <x v="590"/>
    <n v="31"/>
    <x v="6"/>
    <x v="3"/>
    <x v="3"/>
    <x v="1"/>
    <n v="6"/>
    <n v="43200"/>
    <d v="2023-07-25T00:00:00"/>
    <d v="2024-04-22T00:00:00"/>
    <n v="222"/>
    <n v="40"/>
    <x v="1"/>
    <n v="272"/>
  </r>
  <r>
    <n v="592"/>
    <x v="591"/>
    <n v="41"/>
    <x v="6"/>
    <x v="2"/>
    <x v="3"/>
    <x v="0"/>
    <n v="7"/>
    <n v="44800"/>
    <d v="2022-11-07T00:00:00"/>
    <d v="2023-06-21T00:00:00"/>
    <n v="490"/>
    <n v="346"/>
    <x v="0"/>
    <n v="226"/>
  </r>
  <r>
    <n v="593"/>
    <x v="592"/>
    <n v="29"/>
    <x v="3"/>
    <x v="1"/>
    <x v="3"/>
    <x v="0"/>
    <n v="3"/>
    <n v="3300"/>
    <d v="2022-10-01T00:00:00"/>
    <d v="2023-08-07T00:00:00"/>
    <n v="198"/>
    <n v="299"/>
    <x v="0"/>
    <n v="310"/>
  </r>
  <r>
    <n v="594"/>
    <x v="593"/>
    <n v="43"/>
    <x v="4"/>
    <x v="1"/>
    <x v="3"/>
    <x v="0"/>
    <n v="2"/>
    <n v="7600"/>
    <d v="2023-05-04T00:00:00"/>
    <d v="2023-07-11T00:00:00"/>
    <n v="124"/>
    <n v="326"/>
    <x v="0"/>
    <n v="68"/>
  </r>
  <r>
    <n v="595"/>
    <x v="594"/>
    <n v="52"/>
    <x v="5"/>
    <x v="2"/>
    <x v="3"/>
    <x v="2"/>
    <n v="8"/>
    <n v="32800"/>
    <d v="2022-06-17T00:00:00"/>
    <d v="2022-09-23T00:00:00"/>
    <n v="352"/>
    <n v="617"/>
    <x v="0"/>
    <n v="98"/>
  </r>
  <r>
    <n v="596"/>
    <x v="595"/>
    <n v="47"/>
    <x v="7"/>
    <x v="3"/>
    <x v="1"/>
    <x v="0"/>
    <n v="4"/>
    <n v="46400"/>
    <d v="2022-07-29T00:00:00"/>
    <d v="2022-08-31T00:00:00"/>
    <n v="484"/>
    <n v="640"/>
    <x v="0"/>
    <n v="33"/>
  </r>
  <r>
    <n v="597"/>
    <x v="596"/>
    <n v="36"/>
    <x v="5"/>
    <x v="3"/>
    <x v="0"/>
    <x v="2"/>
    <n v="7"/>
    <n v="128100"/>
    <d v="2022-02-12T00:00:00"/>
    <d v="2022-12-20T00:00:00"/>
    <n v="4298"/>
    <n v="529"/>
    <x v="0"/>
    <n v="311"/>
  </r>
  <r>
    <n v="598"/>
    <x v="597"/>
    <n v="27"/>
    <x v="2"/>
    <x v="3"/>
    <x v="1"/>
    <x v="1"/>
    <n v="8"/>
    <n v="160000"/>
    <d v="2022-02-13T00:00:00"/>
    <d v="2023-05-08T00:00:00"/>
    <n v="1000"/>
    <n v="390"/>
    <x v="0"/>
    <n v="449"/>
  </r>
  <r>
    <n v="599"/>
    <x v="598"/>
    <n v="61"/>
    <x v="1"/>
    <x v="0"/>
    <x v="2"/>
    <x v="1"/>
    <n v="1"/>
    <n v="900"/>
    <d v="2022-10-26T00:00:00"/>
    <d v="2023-06-08T00:00:00"/>
    <n v="35"/>
    <n v="359"/>
    <x v="0"/>
    <n v="225"/>
  </r>
  <r>
    <n v="600"/>
    <x v="599"/>
    <n v="48"/>
    <x v="3"/>
    <x v="2"/>
    <x v="2"/>
    <x v="0"/>
    <n v="5"/>
    <n v="40000"/>
    <d v="2022-02-25T00:00:00"/>
    <d v="2023-02-13T00:00:00"/>
    <n v="215"/>
    <n v="474"/>
    <x v="0"/>
    <n v="353"/>
  </r>
  <r>
    <n v="601"/>
    <x v="600"/>
    <n v="53"/>
    <x v="6"/>
    <x v="3"/>
    <x v="2"/>
    <x v="0"/>
    <n v="2"/>
    <n v="21800"/>
    <d v="2023-08-23T00:00:00"/>
    <d v="2024-12-15T00:00:00"/>
    <n v="88"/>
    <n v="-197"/>
    <x v="1"/>
    <n v="480"/>
  </r>
  <r>
    <n v="602"/>
    <x v="601"/>
    <n v="49"/>
    <x v="6"/>
    <x v="3"/>
    <x v="2"/>
    <x v="0"/>
    <n v="1"/>
    <n v="10900"/>
    <d v="2023-04-10T00:00:00"/>
    <d v="2024-02-06T00:00:00"/>
    <n v="22"/>
    <n v="116"/>
    <x v="1"/>
    <n v="302"/>
  </r>
  <r>
    <n v="603"/>
    <x v="602"/>
    <n v="65"/>
    <x v="5"/>
    <x v="0"/>
    <x v="0"/>
    <x v="0"/>
    <n v="3"/>
    <n v="6000"/>
    <d v="2022-05-07T00:00:00"/>
    <d v="2022-06-22T00:00:00"/>
    <n v="1791"/>
    <n v="710"/>
    <x v="0"/>
    <n v="46"/>
  </r>
  <r>
    <n v="604"/>
    <x v="603"/>
    <n v="45"/>
    <x v="5"/>
    <x v="2"/>
    <x v="1"/>
    <x v="1"/>
    <n v="9"/>
    <n v="72000"/>
    <d v="2022-06-13T00:00:00"/>
    <d v="2022-12-23T00:00:00"/>
    <n v="1305"/>
    <n v="526"/>
    <x v="0"/>
    <n v="193"/>
  </r>
  <r>
    <n v="605"/>
    <x v="604"/>
    <n v="57"/>
    <x v="1"/>
    <x v="0"/>
    <x v="3"/>
    <x v="0"/>
    <n v="3"/>
    <n v="2400"/>
    <d v="2022-05-29T00:00:00"/>
    <d v="2022-08-28T00:00:00"/>
    <n v="99"/>
    <n v="643"/>
    <x v="0"/>
    <n v="91"/>
  </r>
  <r>
    <n v="606"/>
    <x v="605"/>
    <n v="39"/>
    <x v="1"/>
    <x v="2"/>
    <x v="0"/>
    <x v="2"/>
    <n v="3"/>
    <n v="12000"/>
    <d v="2022-05-15T00:00:00"/>
    <d v="2023-09-18T00:00:00"/>
    <n v="1806"/>
    <n v="257"/>
    <x v="0"/>
    <n v="491"/>
  </r>
  <r>
    <n v="607"/>
    <x v="606"/>
    <n v="52"/>
    <x v="7"/>
    <x v="2"/>
    <x v="1"/>
    <x v="2"/>
    <n v="8"/>
    <n v="60000"/>
    <d v="2022-01-06T00:00:00"/>
    <d v="2022-11-13T00:00:00"/>
    <n v="1128"/>
    <n v="566"/>
    <x v="0"/>
    <n v="311"/>
  </r>
  <r>
    <n v="608"/>
    <x v="607"/>
    <n v="47"/>
    <x v="4"/>
    <x v="1"/>
    <x v="2"/>
    <x v="2"/>
    <n v="8"/>
    <n v="10400"/>
    <d v="2022-01-07T00:00:00"/>
    <d v="2022-05-12T00:00:00"/>
    <n v="360"/>
    <n v="751"/>
    <x v="0"/>
    <n v="125"/>
  </r>
  <r>
    <n v="609"/>
    <x v="608"/>
    <n v="30"/>
    <x v="3"/>
    <x v="1"/>
    <x v="1"/>
    <x v="0"/>
    <n v="1"/>
    <n v="3700"/>
    <d v="2022-12-24T00:00:00"/>
    <d v="2023-01-11T00:00:00"/>
    <n v="119"/>
    <n v="507"/>
    <x v="0"/>
    <n v="18"/>
  </r>
  <r>
    <n v="610"/>
    <x v="609"/>
    <n v="24"/>
    <x v="7"/>
    <x v="2"/>
    <x v="0"/>
    <x v="0"/>
    <n v="2"/>
    <n v="12800"/>
    <d v="2022-07-02T00:00:00"/>
    <d v="2022-09-22T00:00:00"/>
    <n v="1216"/>
    <n v="618"/>
    <x v="0"/>
    <n v="82"/>
  </r>
  <r>
    <n v="611"/>
    <x v="610"/>
    <n v="26"/>
    <x v="6"/>
    <x v="3"/>
    <x v="0"/>
    <x v="0"/>
    <n v="5"/>
    <n v="78000"/>
    <d v="2023-01-13T00:00:00"/>
    <d v="2024-04-16T00:00:00"/>
    <n v="3070"/>
    <n v="46"/>
    <x v="1"/>
    <n v="459"/>
  </r>
  <r>
    <n v="612"/>
    <x v="611"/>
    <n v="51"/>
    <x v="0"/>
    <x v="3"/>
    <x v="1"/>
    <x v="0"/>
    <n v="3"/>
    <n v="27000"/>
    <d v="2022-10-09T00:00:00"/>
    <d v="2023-03-26T00:00:00"/>
    <n v="429"/>
    <n v="433"/>
    <x v="0"/>
    <n v="168"/>
  </r>
  <r>
    <n v="613"/>
    <x v="612"/>
    <n v="24"/>
    <x v="1"/>
    <x v="1"/>
    <x v="3"/>
    <x v="1"/>
    <n v="2"/>
    <n v="6600"/>
    <d v="2023-06-26T00:00:00"/>
    <d v="2023-08-09T00:00:00"/>
    <n v="120"/>
    <n v="297"/>
    <x v="0"/>
    <n v="44"/>
  </r>
  <r>
    <n v="614"/>
    <x v="613"/>
    <n v="54"/>
    <x v="3"/>
    <x v="3"/>
    <x v="0"/>
    <x v="0"/>
    <n v="10"/>
    <n v="166000"/>
    <d v="2022-05-13T00:00:00"/>
    <d v="2023-03-23T00:00:00"/>
    <n v="6260"/>
    <n v="436"/>
    <x v="0"/>
    <n v="314"/>
  </r>
  <r>
    <n v="615"/>
    <x v="614"/>
    <n v="60"/>
    <x v="5"/>
    <x v="3"/>
    <x v="2"/>
    <x v="0"/>
    <n v="4"/>
    <n v="58000"/>
    <d v="2022-07-18T00:00:00"/>
    <d v="2022-07-18T00:00:00"/>
    <n v="68"/>
    <n v="684"/>
    <x v="0"/>
    <n v="0"/>
  </r>
  <r>
    <n v="616"/>
    <x v="615"/>
    <n v="60"/>
    <x v="7"/>
    <x v="3"/>
    <x v="1"/>
    <x v="0"/>
    <n v="7"/>
    <n v="130200"/>
    <d v="2022-02-16T00:00:00"/>
    <d v="2022-08-05T00:00:00"/>
    <n v="924"/>
    <n v="666"/>
    <x v="0"/>
    <n v="170"/>
  </r>
  <r>
    <n v="617"/>
    <x v="616"/>
    <n v="37"/>
    <x v="4"/>
    <x v="0"/>
    <x v="3"/>
    <x v="0"/>
    <n v="2"/>
    <n v="2200"/>
    <d v="2022-11-04T00:00:00"/>
    <d v="2023-07-21T00:00:00"/>
    <n v="130"/>
    <n v="316"/>
    <x v="0"/>
    <n v="259"/>
  </r>
  <r>
    <n v="618"/>
    <x v="617"/>
    <n v="42"/>
    <x v="2"/>
    <x v="0"/>
    <x v="1"/>
    <x v="0"/>
    <n v="7"/>
    <n v="14000"/>
    <d v="2023-08-06T00:00:00"/>
    <d v="2024-06-16T00:00:00"/>
    <n v="777"/>
    <n v="-15"/>
    <x v="1"/>
    <n v="315"/>
  </r>
  <r>
    <n v="619"/>
    <x v="618"/>
    <n v="64"/>
    <x v="6"/>
    <x v="1"/>
    <x v="0"/>
    <x v="0"/>
    <n v="8"/>
    <n v="38400"/>
    <d v="2023-05-01T00:00:00"/>
    <d v="2024-06-12T00:00:00"/>
    <n v="4736"/>
    <n v="-11"/>
    <x v="1"/>
    <n v="408"/>
  </r>
  <r>
    <n v="620"/>
    <x v="619"/>
    <n v="55"/>
    <x v="6"/>
    <x v="3"/>
    <x v="3"/>
    <x v="2"/>
    <n v="6"/>
    <n v="121200"/>
    <d v="2023-02-28T00:00:00"/>
    <d v="2024-06-17T00:00:00"/>
    <n v="198"/>
    <n v="-16"/>
    <x v="1"/>
    <n v="475"/>
  </r>
  <r>
    <n v="621"/>
    <x v="620"/>
    <n v="57"/>
    <x v="3"/>
    <x v="2"/>
    <x v="1"/>
    <x v="0"/>
    <n v="6"/>
    <n v="57000"/>
    <d v="2022-12-29T00:00:00"/>
    <d v="2023-01-31T00:00:00"/>
    <n v="714"/>
    <n v="487"/>
    <x v="0"/>
    <n v="33"/>
  </r>
  <r>
    <n v="622"/>
    <x v="621"/>
    <n v="61"/>
    <x v="3"/>
    <x v="0"/>
    <x v="0"/>
    <x v="2"/>
    <n v="9"/>
    <n v="7200"/>
    <d v="2023-08-08T00:00:00"/>
    <d v="2024-06-13T00:00:00"/>
    <n v="5526"/>
    <n v="-12"/>
    <x v="1"/>
    <n v="310"/>
  </r>
  <r>
    <n v="623"/>
    <x v="622"/>
    <n v="23"/>
    <x v="6"/>
    <x v="0"/>
    <x v="0"/>
    <x v="0"/>
    <n v="5"/>
    <n v="6500"/>
    <d v="2022-03-30T00:00:00"/>
    <d v="2022-12-09T00:00:00"/>
    <n v="3025"/>
    <n v="540"/>
    <x v="0"/>
    <n v="254"/>
  </r>
  <r>
    <n v="624"/>
    <x v="623"/>
    <n v="54"/>
    <x v="2"/>
    <x v="3"/>
    <x v="0"/>
    <x v="0"/>
    <n v="5"/>
    <n v="53500"/>
    <d v="2022-04-25T00:00:00"/>
    <d v="2022-11-02T00:00:00"/>
    <n v="2960"/>
    <n v="577"/>
    <x v="0"/>
    <n v="191"/>
  </r>
  <r>
    <n v="625"/>
    <x v="624"/>
    <n v="22"/>
    <x v="4"/>
    <x v="0"/>
    <x v="2"/>
    <x v="1"/>
    <n v="8"/>
    <n v="12000"/>
    <d v="2022-06-07T00:00:00"/>
    <d v="2022-09-12T00:00:00"/>
    <n v="248"/>
    <n v="628"/>
    <x v="0"/>
    <n v="97"/>
  </r>
  <r>
    <n v="626"/>
    <x v="625"/>
    <n v="27"/>
    <x v="5"/>
    <x v="2"/>
    <x v="0"/>
    <x v="0"/>
    <n v="9"/>
    <n v="76500"/>
    <d v="2022-05-16T00:00:00"/>
    <d v="2022-08-29T00:00:00"/>
    <n v="5328"/>
    <n v="642"/>
    <x v="0"/>
    <n v="105"/>
  </r>
  <r>
    <n v="627"/>
    <x v="626"/>
    <n v="40"/>
    <x v="5"/>
    <x v="3"/>
    <x v="1"/>
    <x v="0"/>
    <n v="1"/>
    <n v="24500"/>
    <d v="2022-03-31T00:00:00"/>
    <d v="2022-09-17T00:00:00"/>
    <n v="139"/>
    <n v="623"/>
    <x v="0"/>
    <n v="170"/>
  </r>
  <r>
    <n v="628"/>
    <x v="627"/>
    <n v="57"/>
    <x v="7"/>
    <x v="0"/>
    <x v="0"/>
    <x v="0"/>
    <n v="5"/>
    <n v="9000"/>
    <d v="2022-08-03T00:00:00"/>
    <d v="2023-01-14T00:00:00"/>
    <n v="3010"/>
    <n v="504"/>
    <x v="0"/>
    <n v="164"/>
  </r>
  <r>
    <n v="629"/>
    <x v="628"/>
    <n v="41"/>
    <x v="4"/>
    <x v="2"/>
    <x v="0"/>
    <x v="1"/>
    <n v="8"/>
    <n v="68000"/>
    <d v="2022-05-01T00:00:00"/>
    <d v="2022-09-17T00:00:00"/>
    <n v="4792"/>
    <n v="623"/>
    <x v="0"/>
    <n v="139"/>
  </r>
  <r>
    <n v="630"/>
    <x v="629"/>
    <n v="60"/>
    <x v="6"/>
    <x v="2"/>
    <x v="1"/>
    <x v="0"/>
    <n v="9"/>
    <n v="64800"/>
    <d v="2022-04-15T00:00:00"/>
    <d v="2022-07-29T00:00:00"/>
    <n v="1296"/>
    <n v="673"/>
    <x v="0"/>
    <n v="105"/>
  </r>
  <r>
    <n v="631"/>
    <x v="630"/>
    <n v="39"/>
    <x v="2"/>
    <x v="2"/>
    <x v="0"/>
    <x v="0"/>
    <n v="10"/>
    <n v="50000"/>
    <d v="2022-06-25T00:00:00"/>
    <d v="2022-07-31T00:00:00"/>
    <n v="6090"/>
    <n v="671"/>
    <x v="0"/>
    <n v="36"/>
  </r>
  <r>
    <n v="632"/>
    <x v="631"/>
    <n v="22"/>
    <x v="2"/>
    <x v="3"/>
    <x v="1"/>
    <x v="0"/>
    <n v="8"/>
    <n v="53600"/>
    <d v="2022-04-19T00:00:00"/>
    <d v="2022-11-01T00:00:00"/>
    <n v="904"/>
    <n v="578"/>
    <x v="0"/>
    <n v="196"/>
  </r>
  <r>
    <n v="633"/>
    <x v="632"/>
    <n v="59"/>
    <x v="0"/>
    <x v="3"/>
    <x v="2"/>
    <x v="0"/>
    <n v="10"/>
    <n v="196000"/>
    <d v="2022-12-31T00:00:00"/>
    <d v="2023-06-08T00:00:00"/>
    <n v="310"/>
    <n v="359"/>
    <x v="0"/>
    <n v="159"/>
  </r>
  <r>
    <n v="634"/>
    <x v="633"/>
    <n v="29"/>
    <x v="4"/>
    <x v="0"/>
    <x v="2"/>
    <x v="1"/>
    <n v="2"/>
    <n v="3800"/>
    <d v="2023-04-25T00:00:00"/>
    <d v="2023-06-13T00:00:00"/>
    <n v="78"/>
    <n v="354"/>
    <x v="0"/>
    <n v="49"/>
  </r>
  <r>
    <n v="635"/>
    <x v="634"/>
    <n v="35"/>
    <x v="3"/>
    <x v="3"/>
    <x v="2"/>
    <x v="0"/>
    <n v="3"/>
    <n v="40500"/>
    <d v="2023-01-08T00:00:00"/>
    <d v="2023-07-27T00:00:00"/>
    <n v="63"/>
    <n v="310"/>
    <x v="0"/>
    <n v="200"/>
  </r>
  <r>
    <n v="636"/>
    <x v="635"/>
    <n v="22"/>
    <x v="2"/>
    <x v="2"/>
    <x v="2"/>
    <x v="2"/>
    <n v="2"/>
    <n v="13800"/>
    <d v="2022-04-26T00:00:00"/>
    <d v="2022-10-22T00:00:00"/>
    <n v="80"/>
    <n v="588"/>
    <x v="0"/>
    <n v="179"/>
  </r>
  <r>
    <n v="637"/>
    <x v="636"/>
    <n v="59"/>
    <x v="5"/>
    <x v="1"/>
    <x v="0"/>
    <x v="0"/>
    <n v="10"/>
    <n v="15000"/>
    <d v="2023-06-05T00:00:00"/>
    <d v="2023-07-27T00:00:00"/>
    <n v="6150"/>
    <n v="310"/>
    <x v="0"/>
    <n v="52"/>
  </r>
  <r>
    <n v="638"/>
    <x v="637"/>
    <n v="55"/>
    <x v="0"/>
    <x v="2"/>
    <x v="1"/>
    <x v="0"/>
    <n v="8"/>
    <n v="50400"/>
    <d v="2023-02-28T00:00:00"/>
    <d v="2023-06-30T00:00:00"/>
    <n v="1192"/>
    <n v="337"/>
    <x v="0"/>
    <n v="122"/>
  </r>
  <r>
    <n v="639"/>
    <x v="638"/>
    <n v="25"/>
    <x v="4"/>
    <x v="1"/>
    <x v="2"/>
    <x v="2"/>
    <n v="6"/>
    <n v="11400"/>
    <d v="2023-03-18T00:00:00"/>
    <d v="2024-04-22T00:00:00"/>
    <n v="222"/>
    <n v="40"/>
    <x v="1"/>
    <n v="401"/>
  </r>
  <r>
    <n v="640"/>
    <x v="639"/>
    <n v="57"/>
    <x v="2"/>
    <x v="1"/>
    <x v="3"/>
    <x v="0"/>
    <n v="8"/>
    <n v="12000"/>
    <d v="2023-04-20T00:00:00"/>
    <d v="2023-10-03T00:00:00"/>
    <n v="520"/>
    <n v="242"/>
    <x v="0"/>
    <n v="166"/>
  </r>
  <r>
    <n v="641"/>
    <x v="640"/>
    <n v="46"/>
    <x v="0"/>
    <x v="3"/>
    <x v="3"/>
    <x v="0"/>
    <n v="2"/>
    <n v="49200"/>
    <d v="2022-04-22T00:00:00"/>
    <d v="2023-04-07T00:00:00"/>
    <n v="136"/>
    <n v="421"/>
    <x v="0"/>
    <n v="350"/>
  </r>
  <r>
    <n v="642"/>
    <x v="641"/>
    <n v="26"/>
    <x v="1"/>
    <x v="2"/>
    <x v="2"/>
    <x v="0"/>
    <n v="4"/>
    <n v="38800"/>
    <d v="2022-05-23T00:00:00"/>
    <d v="2023-08-20T00:00:00"/>
    <n v="188"/>
    <n v="286"/>
    <x v="0"/>
    <n v="454"/>
  </r>
  <r>
    <n v="643"/>
    <x v="642"/>
    <n v="55"/>
    <x v="7"/>
    <x v="1"/>
    <x v="3"/>
    <x v="2"/>
    <n v="5"/>
    <n v="13000"/>
    <d v="2023-08-15T00:00:00"/>
    <d v="2024-03-30T00:00:00"/>
    <n v="210"/>
    <n v="63"/>
    <x v="1"/>
    <n v="228"/>
  </r>
  <r>
    <n v="644"/>
    <x v="643"/>
    <n v="64"/>
    <x v="4"/>
    <x v="2"/>
    <x v="0"/>
    <x v="1"/>
    <n v="5"/>
    <n v="33000"/>
    <d v="2022-12-19T00:00:00"/>
    <d v="2023-02-02T00:00:00"/>
    <n v="3135"/>
    <n v="485"/>
    <x v="0"/>
    <n v="45"/>
  </r>
  <r>
    <n v="645"/>
    <x v="644"/>
    <n v="24"/>
    <x v="7"/>
    <x v="3"/>
    <x v="3"/>
    <x v="0"/>
    <n v="6"/>
    <n v="138000"/>
    <d v="2022-02-24T00:00:00"/>
    <d v="2022-02-24T00:00:00"/>
    <n v="390"/>
    <n v="828"/>
    <x v="0"/>
    <n v="0"/>
  </r>
  <r>
    <n v="646"/>
    <x v="645"/>
    <n v="36"/>
    <x v="2"/>
    <x v="0"/>
    <x v="0"/>
    <x v="0"/>
    <n v="7"/>
    <n v="13300"/>
    <d v="2023-02-08T00:00:00"/>
    <d v="2023-12-25T00:00:00"/>
    <n v="4270"/>
    <n v="159"/>
    <x v="1"/>
    <n v="320"/>
  </r>
  <r>
    <n v="647"/>
    <x v="646"/>
    <n v="55"/>
    <x v="1"/>
    <x v="3"/>
    <x v="2"/>
    <x v="2"/>
    <n v="4"/>
    <n v="42800"/>
    <d v="2023-05-02T00:00:00"/>
    <d v="2023-07-12T00:00:00"/>
    <n v="88"/>
    <n v="325"/>
    <x v="0"/>
    <n v="71"/>
  </r>
  <r>
    <n v="648"/>
    <x v="647"/>
    <n v="39"/>
    <x v="1"/>
    <x v="2"/>
    <x v="2"/>
    <x v="0"/>
    <n v="3"/>
    <n v="12300"/>
    <d v="2022-01-12T00:00:00"/>
    <d v="2022-02-17T00:00:00"/>
    <n v="33"/>
    <n v="835"/>
    <x v="0"/>
    <n v="36"/>
  </r>
  <r>
    <n v="649"/>
    <x v="648"/>
    <n v="26"/>
    <x v="6"/>
    <x v="3"/>
    <x v="2"/>
    <x v="0"/>
    <n v="3"/>
    <n v="55800"/>
    <d v="2023-04-12T00:00:00"/>
    <d v="2024-07-12T00:00:00"/>
    <n v="144"/>
    <n v="-41"/>
    <x v="1"/>
    <n v="457"/>
  </r>
  <r>
    <n v="650"/>
    <x v="649"/>
    <n v="48"/>
    <x v="1"/>
    <x v="1"/>
    <x v="2"/>
    <x v="1"/>
    <n v="9"/>
    <n v="39600"/>
    <d v="2023-04-06T00:00:00"/>
    <d v="2023-10-19T00:00:00"/>
    <n v="288"/>
    <n v="226"/>
    <x v="0"/>
    <n v="196"/>
  </r>
  <r>
    <n v="651"/>
    <x v="650"/>
    <n v="21"/>
    <x v="4"/>
    <x v="1"/>
    <x v="2"/>
    <x v="1"/>
    <n v="10"/>
    <n v="30000"/>
    <d v="2022-08-31T00:00:00"/>
    <d v="2023-08-30T00:00:00"/>
    <n v="420"/>
    <n v="276"/>
    <x v="0"/>
    <n v="364"/>
  </r>
  <r>
    <n v="652"/>
    <x v="651"/>
    <n v="23"/>
    <x v="3"/>
    <x v="3"/>
    <x v="0"/>
    <x v="0"/>
    <n v="10"/>
    <n v="208000"/>
    <d v="2023-01-13T00:00:00"/>
    <d v="2023-03-11T00:00:00"/>
    <n v="6270"/>
    <n v="448"/>
    <x v="0"/>
    <n v="57"/>
  </r>
  <r>
    <n v="653"/>
    <x v="652"/>
    <n v="38"/>
    <x v="5"/>
    <x v="0"/>
    <x v="3"/>
    <x v="1"/>
    <n v="8"/>
    <n v="12800"/>
    <d v="2022-03-22T00:00:00"/>
    <d v="2022-12-14T00:00:00"/>
    <n v="552"/>
    <n v="535"/>
    <x v="0"/>
    <n v="267"/>
  </r>
  <r>
    <n v="654"/>
    <x v="653"/>
    <n v="64"/>
    <x v="0"/>
    <x v="1"/>
    <x v="2"/>
    <x v="0"/>
    <n v="9"/>
    <n v="38700"/>
    <d v="2023-08-17T00:00:00"/>
    <d v="2024-01-23T00:00:00"/>
    <n v="441"/>
    <n v="130"/>
    <x v="1"/>
    <n v="159"/>
  </r>
  <r>
    <n v="655"/>
    <x v="654"/>
    <n v="50"/>
    <x v="7"/>
    <x v="2"/>
    <x v="1"/>
    <x v="2"/>
    <n v="9"/>
    <n v="61200"/>
    <d v="2023-08-11T00:00:00"/>
    <d v="2024-08-20T00:00:00"/>
    <n v="1179"/>
    <n v="-80"/>
    <x v="1"/>
    <n v="375"/>
  </r>
  <r>
    <n v="656"/>
    <x v="655"/>
    <n v="31"/>
    <x v="1"/>
    <x v="2"/>
    <x v="0"/>
    <x v="0"/>
    <n v="1"/>
    <n v="8700"/>
    <d v="2022-11-08T00:00:00"/>
    <d v="2023-11-15T00:00:00"/>
    <n v="626"/>
    <n v="199"/>
    <x v="0"/>
    <n v="372"/>
  </r>
  <r>
    <n v="657"/>
    <x v="656"/>
    <n v="31"/>
    <x v="3"/>
    <x v="0"/>
    <x v="2"/>
    <x v="1"/>
    <n v="10"/>
    <n v="6000"/>
    <d v="2022-10-26T00:00:00"/>
    <d v="2023-12-14T00:00:00"/>
    <n v="490"/>
    <n v="170"/>
    <x v="1"/>
    <n v="414"/>
  </r>
  <r>
    <n v="658"/>
    <x v="657"/>
    <n v="29"/>
    <x v="7"/>
    <x v="2"/>
    <x v="2"/>
    <x v="0"/>
    <n v="9"/>
    <n v="32400"/>
    <d v="2022-10-12T00:00:00"/>
    <d v="2023-02-18T00:00:00"/>
    <n v="162"/>
    <n v="469"/>
    <x v="0"/>
    <n v="129"/>
  </r>
  <r>
    <n v="659"/>
    <x v="658"/>
    <n v="28"/>
    <x v="3"/>
    <x v="2"/>
    <x v="0"/>
    <x v="0"/>
    <n v="10"/>
    <n v="44000"/>
    <d v="2022-06-04T00:00:00"/>
    <d v="2023-05-07T00:00:00"/>
    <n v="6180"/>
    <n v="391"/>
    <x v="0"/>
    <n v="337"/>
  </r>
  <r>
    <n v="660"/>
    <x v="659"/>
    <n v="52"/>
    <x v="2"/>
    <x v="1"/>
    <x v="0"/>
    <x v="0"/>
    <n v="3"/>
    <n v="12900"/>
    <d v="2023-06-25T00:00:00"/>
    <d v="2024-09-08T00:00:00"/>
    <n v="1776"/>
    <n v="-99"/>
    <x v="1"/>
    <n v="441"/>
  </r>
  <r>
    <n v="661"/>
    <x v="660"/>
    <n v="30"/>
    <x v="2"/>
    <x v="0"/>
    <x v="3"/>
    <x v="1"/>
    <n v="8"/>
    <n v="10400"/>
    <d v="2023-01-28T00:00:00"/>
    <d v="2023-05-29T00:00:00"/>
    <n v="464"/>
    <n v="369"/>
    <x v="0"/>
    <n v="121"/>
  </r>
  <r>
    <n v="662"/>
    <x v="661"/>
    <n v="62"/>
    <x v="6"/>
    <x v="1"/>
    <x v="0"/>
    <x v="0"/>
    <n v="5"/>
    <n v="20500"/>
    <d v="2022-04-29T00:00:00"/>
    <d v="2022-05-25T00:00:00"/>
    <n v="3000"/>
    <n v="738"/>
    <x v="0"/>
    <n v="26"/>
  </r>
  <r>
    <n v="663"/>
    <x v="662"/>
    <n v="51"/>
    <x v="5"/>
    <x v="3"/>
    <x v="2"/>
    <x v="0"/>
    <n v="9"/>
    <n v="114300"/>
    <d v="2023-01-24T00:00:00"/>
    <d v="2024-01-08T00:00:00"/>
    <n v="306"/>
    <n v="145"/>
    <x v="1"/>
    <n v="349"/>
  </r>
  <r>
    <n v="664"/>
    <x v="663"/>
    <n v="48"/>
    <x v="5"/>
    <x v="2"/>
    <x v="3"/>
    <x v="1"/>
    <n v="1"/>
    <n v="5400"/>
    <d v="2023-04-05T00:00:00"/>
    <d v="2023-10-17T00:00:00"/>
    <n v="50"/>
    <n v="228"/>
    <x v="0"/>
    <n v="195"/>
  </r>
  <r>
    <n v="665"/>
    <x v="664"/>
    <n v="60"/>
    <x v="7"/>
    <x v="0"/>
    <x v="0"/>
    <x v="2"/>
    <n v="5"/>
    <n v="6000"/>
    <d v="2022-10-04T00:00:00"/>
    <d v="2023-02-17T00:00:00"/>
    <n v="2980"/>
    <n v="470"/>
    <x v="0"/>
    <n v="136"/>
  </r>
  <r>
    <n v="666"/>
    <x v="665"/>
    <n v="64"/>
    <x v="3"/>
    <x v="3"/>
    <x v="2"/>
    <x v="0"/>
    <n v="10"/>
    <n v="114000"/>
    <d v="2023-06-17T00:00:00"/>
    <d v="2023-12-06T00:00:00"/>
    <n v="210"/>
    <n v="178"/>
    <x v="1"/>
    <n v="172"/>
  </r>
  <r>
    <n v="667"/>
    <x v="666"/>
    <n v="21"/>
    <x v="2"/>
    <x v="0"/>
    <x v="1"/>
    <x v="0"/>
    <n v="7"/>
    <n v="4900"/>
    <d v="2023-06-22T00:00:00"/>
    <d v="2023-08-14T00:00:00"/>
    <n v="966"/>
    <n v="292"/>
    <x v="0"/>
    <n v="53"/>
  </r>
  <r>
    <n v="668"/>
    <x v="667"/>
    <n v="33"/>
    <x v="2"/>
    <x v="1"/>
    <x v="0"/>
    <x v="0"/>
    <n v="1"/>
    <n v="1100"/>
    <d v="2022-04-05T00:00:00"/>
    <d v="2022-05-04T00:00:00"/>
    <n v="628"/>
    <n v="759"/>
    <x v="0"/>
    <n v="29"/>
  </r>
  <r>
    <n v="669"/>
    <x v="668"/>
    <n v="59"/>
    <x v="4"/>
    <x v="0"/>
    <x v="1"/>
    <x v="0"/>
    <n v="3"/>
    <n v="3900"/>
    <d v="2023-08-03T00:00:00"/>
    <d v="2024-09-17T00:00:00"/>
    <n v="363"/>
    <n v="-108"/>
    <x v="1"/>
    <n v="411"/>
  </r>
  <r>
    <n v="670"/>
    <x v="669"/>
    <n v="50"/>
    <x v="0"/>
    <x v="1"/>
    <x v="0"/>
    <x v="0"/>
    <n v="2"/>
    <n v="7200"/>
    <d v="2023-04-10T00:00:00"/>
    <d v="2024-07-25T00:00:00"/>
    <n v="1214"/>
    <n v="-54"/>
    <x v="1"/>
    <n v="472"/>
  </r>
  <r>
    <n v="671"/>
    <x v="670"/>
    <n v="25"/>
    <x v="1"/>
    <x v="2"/>
    <x v="0"/>
    <x v="0"/>
    <n v="5"/>
    <n v="47000"/>
    <d v="2022-03-05T00:00:00"/>
    <d v="2022-09-16T00:00:00"/>
    <n v="3070"/>
    <n v="624"/>
    <x v="0"/>
    <n v="195"/>
  </r>
  <r>
    <n v="672"/>
    <x v="671"/>
    <n v="32"/>
    <x v="2"/>
    <x v="0"/>
    <x v="0"/>
    <x v="0"/>
    <n v="8"/>
    <n v="4800"/>
    <d v="2023-05-19T00:00:00"/>
    <d v="2024-09-05T00:00:00"/>
    <n v="4816"/>
    <n v="-96"/>
    <x v="1"/>
    <n v="475"/>
  </r>
  <r>
    <n v="673"/>
    <x v="672"/>
    <n v="30"/>
    <x v="1"/>
    <x v="1"/>
    <x v="2"/>
    <x v="0"/>
    <n v="9"/>
    <n v="36900"/>
    <d v="2023-03-18T00:00:00"/>
    <d v="2023-07-07T00:00:00"/>
    <n v="441"/>
    <n v="330"/>
    <x v="0"/>
    <n v="111"/>
  </r>
  <r>
    <n v="674"/>
    <x v="673"/>
    <n v="23"/>
    <x v="0"/>
    <x v="3"/>
    <x v="0"/>
    <x v="0"/>
    <n v="2"/>
    <n v="14600"/>
    <d v="2023-08-09T00:00:00"/>
    <d v="2024-08-15T00:00:00"/>
    <n v="1212"/>
    <n v="-75"/>
    <x v="1"/>
    <n v="372"/>
  </r>
  <r>
    <n v="675"/>
    <x v="674"/>
    <n v="62"/>
    <x v="5"/>
    <x v="0"/>
    <x v="2"/>
    <x v="0"/>
    <n v="1"/>
    <n v="600"/>
    <d v="2023-02-04T00:00:00"/>
    <d v="2023-06-20T00:00:00"/>
    <n v="19"/>
    <n v="347"/>
    <x v="0"/>
    <n v="136"/>
  </r>
  <r>
    <n v="676"/>
    <x v="675"/>
    <n v="52"/>
    <x v="2"/>
    <x v="3"/>
    <x v="1"/>
    <x v="1"/>
    <n v="8"/>
    <n v="154400"/>
    <d v="2023-02-18T00:00:00"/>
    <d v="2024-04-25T00:00:00"/>
    <n v="912"/>
    <n v="37"/>
    <x v="1"/>
    <n v="432"/>
  </r>
  <r>
    <n v="677"/>
    <x v="676"/>
    <n v="28"/>
    <x v="4"/>
    <x v="0"/>
    <x v="2"/>
    <x v="2"/>
    <n v="10"/>
    <n v="16000"/>
    <d v="2023-01-03T00:00:00"/>
    <d v="2023-06-22T00:00:00"/>
    <n v="290"/>
    <n v="345"/>
    <x v="0"/>
    <n v="170"/>
  </r>
  <r>
    <n v="678"/>
    <x v="677"/>
    <n v="55"/>
    <x v="1"/>
    <x v="0"/>
    <x v="1"/>
    <x v="0"/>
    <n v="6"/>
    <n v="4200"/>
    <d v="2023-04-16T00:00:00"/>
    <d v="2024-05-09T00:00:00"/>
    <n v="768"/>
    <n v="23"/>
    <x v="1"/>
    <n v="389"/>
  </r>
  <r>
    <n v="679"/>
    <x v="678"/>
    <n v="63"/>
    <x v="4"/>
    <x v="1"/>
    <x v="1"/>
    <x v="2"/>
    <n v="4"/>
    <n v="8800"/>
    <d v="2023-02-04T00:00:00"/>
    <d v="2024-05-07T00:00:00"/>
    <n v="464"/>
    <n v="25"/>
    <x v="1"/>
    <n v="458"/>
  </r>
  <r>
    <n v="680"/>
    <x v="679"/>
    <n v="33"/>
    <x v="2"/>
    <x v="3"/>
    <x v="1"/>
    <x v="2"/>
    <n v="3"/>
    <n v="18600"/>
    <d v="2022-07-17T00:00:00"/>
    <d v="2022-07-29T00:00:00"/>
    <n v="441"/>
    <n v="673"/>
    <x v="0"/>
    <n v="12"/>
  </r>
  <r>
    <n v="681"/>
    <x v="680"/>
    <n v="55"/>
    <x v="4"/>
    <x v="3"/>
    <x v="2"/>
    <x v="0"/>
    <n v="5"/>
    <n v="107000"/>
    <d v="2023-07-01T00:00:00"/>
    <d v="2024-11-06T00:00:00"/>
    <n v="190"/>
    <n v="-158"/>
    <x v="1"/>
    <n v="494"/>
  </r>
  <r>
    <n v="682"/>
    <x v="681"/>
    <n v="42"/>
    <x v="7"/>
    <x v="0"/>
    <x v="0"/>
    <x v="0"/>
    <n v="1"/>
    <n v="1300"/>
    <d v="2022-05-02T00:00:00"/>
    <d v="2022-08-18T00:00:00"/>
    <n v="623"/>
    <n v="653"/>
    <x v="0"/>
    <n v="108"/>
  </r>
  <r>
    <n v="683"/>
    <x v="682"/>
    <n v="23"/>
    <x v="5"/>
    <x v="1"/>
    <x v="3"/>
    <x v="0"/>
    <n v="3"/>
    <n v="9000"/>
    <d v="2022-01-20T00:00:00"/>
    <d v="2022-09-18T00:00:00"/>
    <n v="207"/>
    <n v="622"/>
    <x v="0"/>
    <n v="241"/>
  </r>
  <r>
    <n v="684"/>
    <x v="683"/>
    <n v="32"/>
    <x v="7"/>
    <x v="1"/>
    <x v="3"/>
    <x v="0"/>
    <n v="1"/>
    <n v="4700"/>
    <d v="2022-11-11T00:00:00"/>
    <d v="2024-01-05T00:00:00"/>
    <n v="36"/>
    <n v="148"/>
    <x v="1"/>
    <n v="420"/>
  </r>
  <r>
    <n v="685"/>
    <x v="684"/>
    <n v="28"/>
    <x v="5"/>
    <x v="1"/>
    <x v="1"/>
    <x v="0"/>
    <n v="8"/>
    <n v="27200"/>
    <d v="2022-08-14T00:00:00"/>
    <d v="2022-09-15T00:00:00"/>
    <n v="976"/>
    <n v="625"/>
    <x v="0"/>
    <n v="32"/>
  </r>
  <r>
    <n v="686"/>
    <x v="685"/>
    <n v="28"/>
    <x v="1"/>
    <x v="2"/>
    <x v="2"/>
    <x v="0"/>
    <n v="10"/>
    <n v="75000"/>
    <d v="2022-05-21T00:00:00"/>
    <d v="2022-11-01T00:00:00"/>
    <n v="230"/>
    <n v="578"/>
    <x v="0"/>
    <n v="164"/>
  </r>
  <r>
    <n v="687"/>
    <x v="686"/>
    <n v="28"/>
    <x v="7"/>
    <x v="1"/>
    <x v="0"/>
    <x v="0"/>
    <n v="5"/>
    <n v="8000"/>
    <d v="2023-03-02T00:00:00"/>
    <d v="2023-05-27T00:00:00"/>
    <n v="3065"/>
    <n v="371"/>
    <x v="0"/>
    <n v="86"/>
  </r>
  <r>
    <n v="688"/>
    <x v="687"/>
    <n v="23"/>
    <x v="6"/>
    <x v="3"/>
    <x v="3"/>
    <x v="1"/>
    <n v="3"/>
    <n v="24900"/>
    <d v="2023-01-21T00:00:00"/>
    <d v="2024-02-23T00:00:00"/>
    <n v="120"/>
    <n v="99"/>
    <x v="1"/>
    <n v="398"/>
  </r>
  <r>
    <n v="689"/>
    <x v="688"/>
    <n v="21"/>
    <x v="7"/>
    <x v="3"/>
    <x v="1"/>
    <x v="0"/>
    <n v="3"/>
    <n v="23700"/>
    <d v="2022-10-18T00:00:00"/>
    <d v="2023-05-19T00:00:00"/>
    <n v="420"/>
    <n v="379"/>
    <x v="0"/>
    <n v="213"/>
  </r>
  <r>
    <n v="690"/>
    <x v="689"/>
    <n v="54"/>
    <x v="6"/>
    <x v="1"/>
    <x v="3"/>
    <x v="0"/>
    <n v="8"/>
    <n v="21600"/>
    <d v="2022-09-02T00:00:00"/>
    <d v="2023-12-26T00:00:00"/>
    <n v="328"/>
    <n v="158"/>
    <x v="1"/>
    <n v="480"/>
  </r>
  <r>
    <n v="691"/>
    <x v="690"/>
    <n v="26"/>
    <x v="7"/>
    <x v="1"/>
    <x v="2"/>
    <x v="1"/>
    <n v="5"/>
    <n v="12000"/>
    <d v="2023-03-05T00:00:00"/>
    <d v="2023-03-07T00:00:00"/>
    <n v="225"/>
    <n v="452"/>
    <x v="0"/>
    <n v="2"/>
  </r>
  <r>
    <n v="692"/>
    <x v="691"/>
    <n v="27"/>
    <x v="4"/>
    <x v="1"/>
    <x v="1"/>
    <x v="1"/>
    <n v="10"/>
    <n v="25000"/>
    <d v="2023-07-07T00:00:00"/>
    <d v="2024-03-22T00:00:00"/>
    <n v="1240"/>
    <n v="71"/>
    <x v="1"/>
    <n v="259"/>
  </r>
  <r>
    <n v="693"/>
    <x v="692"/>
    <n v="33"/>
    <x v="5"/>
    <x v="1"/>
    <x v="0"/>
    <x v="0"/>
    <n v="2"/>
    <n v="8600"/>
    <d v="2022-06-02T00:00:00"/>
    <d v="2023-05-18T00:00:00"/>
    <n v="1240"/>
    <n v="380"/>
    <x v="0"/>
    <n v="350"/>
  </r>
  <r>
    <n v="694"/>
    <x v="693"/>
    <n v="24"/>
    <x v="5"/>
    <x v="1"/>
    <x v="3"/>
    <x v="0"/>
    <n v="6"/>
    <n v="13200"/>
    <d v="2022-08-03T00:00:00"/>
    <d v="2023-03-13T00:00:00"/>
    <n v="276"/>
    <n v="446"/>
    <x v="0"/>
    <n v="222"/>
  </r>
  <r>
    <n v="695"/>
    <x v="694"/>
    <n v="24"/>
    <x v="2"/>
    <x v="3"/>
    <x v="1"/>
    <x v="0"/>
    <n v="9"/>
    <n v="97200"/>
    <d v="2022-06-11T00:00:00"/>
    <d v="2023-07-18T00:00:00"/>
    <n v="999"/>
    <n v="319"/>
    <x v="0"/>
    <n v="402"/>
  </r>
  <r>
    <n v="696"/>
    <x v="695"/>
    <n v="49"/>
    <x v="5"/>
    <x v="0"/>
    <x v="1"/>
    <x v="0"/>
    <n v="10"/>
    <n v="17000"/>
    <d v="2022-11-30T00:00:00"/>
    <d v="2023-07-02T00:00:00"/>
    <n v="1220"/>
    <n v="335"/>
    <x v="0"/>
    <n v="214"/>
  </r>
  <r>
    <n v="697"/>
    <x v="696"/>
    <n v="35"/>
    <x v="2"/>
    <x v="1"/>
    <x v="1"/>
    <x v="0"/>
    <n v="2"/>
    <n v="4000"/>
    <d v="2023-02-27T00:00:00"/>
    <d v="2024-05-17T00:00:00"/>
    <n v="244"/>
    <n v="15"/>
    <x v="1"/>
    <n v="445"/>
  </r>
  <r>
    <n v="698"/>
    <x v="697"/>
    <n v="58"/>
    <x v="1"/>
    <x v="1"/>
    <x v="1"/>
    <x v="2"/>
    <n v="8"/>
    <n v="9600"/>
    <d v="2023-03-23T00:00:00"/>
    <d v="2023-06-05T00:00:00"/>
    <n v="984"/>
    <n v="362"/>
    <x v="0"/>
    <n v="74"/>
  </r>
  <r>
    <n v="699"/>
    <x v="698"/>
    <n v="29"/>
    <x v="5"/>
    <x v="1"/>
    <x v="2"/>
    <x v="0"/>
    <n v="8"/>
    <n v="31200"/>
    <d v="2022-07-18T00:00:00"/>
    <d v="2023-06-06T00:00:00"/>
    <n v="256"/>
    <n v="361"/>
    <x v="0"/>
    <n v="323"/>
  </r>
  <r>
    <n v="700"/>
    <x v="699"/>
    <n v="23"/>
    <x v="3"/>
    <x v="1"/>
    <x v="0"/>
    <x v="0"/>
    <n v="10"/>
    <n v="12000"/>
    <d v="2022-10-15T00:00:00"/>
    <d v="2022-12-23T00:00:00"/>
    <n v="5970"/>
    <n v="526"/>
    <x v="0"/>
    <n v="69"/>
  </r>
  <r>
    <n v="701"/>
    <x v="700"/>
    <n v="42"/>
    <x v="5"/>
    <x v="3"/>
    <x v="2"/>
    <x v="0"/>
    <n v="4"/>
    <n v="58800"/>
    <d v="2022-06-10T00:00:00"/>
    <d v="2023-07-19T00:00:00"/>
    <n v="200"/>
    <n v="318"/>
    <x v="0"/>
    <n v="404"/>
  </r>
  <r>
    <n v="702"/>
    <x v="701"/>
    <n v="54"/>
    <x v="6"/>
    <x v="1"/>
    <x v="1"/>
    <x v="2"/>
    <n v="8"/>
    <n v="36000"/>
    <d v="2022-08-10T00:00:00"/>
    <d v="2023-06-08T00:00:00"/>
    <n v="1120"/>
    <n v="359"/>
    <x v="0"/>
    <n v="302"/>
  </r>
  <r>
    <n v="703"/>
    <x v="702"/>
    <n v="36"/>
    <x v="5"/>
    <x v="2"/>
    <x v="1"/>
    <x v="2"/>
    <n v="4"/>
    <n v="22800"/>
    <d v="2023-03-21T00:00:00"/>
    <d v="2024-01-11T00:00:00"/>
    <n v="496"/>
    <n v="142"/>
    <x v="1"/>
    <n v="296"/>
  </r>
  <r>
    <n v="704"/>
    <x v="703"/>
    <n v="23"/>
    <x v="6"/>
    <x v="0"/>
    <x v="2"/>
    <x v="0"/>
    <n v="8"/>
    <n v="12000"/>
    <d v="2022-02-04T00:00:00"/>
    <d v="2022-09-09T00:00:00"/>
    <n v="344"/>
    <n v="631"/>
    <x v="0"/>
    <n v="217"/>
  </r>
  <r>
    <n v="705"/>
    <x v="704"/>
    <n v="52"/>
    <x v="1"/>
    <x v="3"/>
    <x v="1"/>
    <x v="2"/>
    <n v="4"/>
    <n v="30800"/>
    <d v="2023-07-26T00:00:00"/>
    <d v="2024-08-14T00:00:00"/>
    <n v="440"/>
    <n v="-74"/>
    <x v="1"/>
    <n v="385"/>
  </r>
  <r>
    <n v="706"/>
    <x v="705"/>
    <n v="39"/>
    <x v="1"/>
    <x v="1"/>
    <x v="3"/>
    <x v="0"/>
    <n v="4"/>
    <n v="14800"/>
    <d v="2022-04-03T00:00:00"/>
    <d v="2022-04-11T00:00:00"/>
    <n v="240"/>
    <n v="782"/>
    <x v="0"/>
    <n v="8"/>
  </r>
  <r>
    <n v="707"/>
    <x v="706"/>
    <n v="58"/>
    <x v="3"/>
    <x v="1"/>
    <x v="2"/>
    <x v="1"/>
    <n v="1"/>
    <n v="5000"/>
    <d v="2023-04-11T00:00:00"/>
    <d v="2023-12-04T00:00:00"/>
    <n v="18"/>
    <n v="180"/>
    <x v="1"/>
    <n v="237"/>
  </r>
  <r>
    <n v="708"/>
    <x v="707"/>
    <n v="61"/>
    <x v="1"/>
    <x v="1"/>
    <x v="0"/>
    <x v="2"/>
    <n v="1"/>
    <n v="4500"/>
    <d v="2022-03-14T00:00:00"/>
    <d v="2022-09-27T00:00:00"/>
    <n v="611"/>
    <n v="613"/>
    <x v="0"/>
    <n v="197"/>
  </r>
  <r>
    <n v="709"/>
    <x v="708"/>
    <n v="65"/>
    <x v="7"/>
    <x v="2"/>
    <x v="2"/>
    <x v="0"/>
    <n v="10"/>
    <n v="74000"/>
    <d v="2023-08-13T00:00:00"/>
    <d v="2024-09-22T00:00:00"/>
    <n v="230"/>
    <n v="-113"/>
    <x v="1"/>
    <n v="406"/>
  </r>
  <r>
    <n v="710"/>
    <x v="709"/>
    <n v="64"/>
    <x v="0"/>
    <x v="2"/>
    <x v="1"/>
    <x v="1"/>
    <n v="6"/>
    <n v="20400"/>
    <d v="2022-04-24T00:00:00"/>
    <d v="2022-11-06T00:00:00"/>
    <n v="798"/>
    <n v="573"/>
    <x v="0"/>
    <n v="196"/>
  </r>
  <r>
    <n v="711"/>
    <x v="710"/>
    <n v="32"/>
    <x v="5"/>
    <x v="0"/>
    <x v="0"/>
    <x v="0"/>
    <n v="9"/>
    <n v="17100"/>
    <d v="2022-03-10T00:00:00"/>
    <d v="2022-12-22T00:00:00"/>
    <n v="5427"/>
    <n v="527"/>
    <x v="0"/>
    <n v="287"/>
  </r>
  <r>
    <n v="712"/>
    <x v="711"/>
    <n v="28"/>
    <x v="6"/>
    <x v="2"/>
    <x v="3"/>
    <x v="1"/>
    <n v="8"/>
    <n v="72000"/>
    <d v="2023-08-18T00:00:00"/>
    <d v="2024-11-06T00:00:00"/>
    <n v="344"/>
    <n v="-158"/>
    <x v="1"/>
    <n v="446"/>
  </r>
  <r>
    <n v="713"/>
    <x v="712"/>
    <n v="53"/>
    <x v="4"/>
    <x v="2"/>
    <x v="0"/>
    <x v="0"/>
    <n v="7"/>
    <n v="37100"/>
    <d v="2022-02-25T00:00:00"/>
    <d v="2022-03-29T00:00:00"/>
    <n v="4291"/>
    <n v="795"/>
    <x v="0"/>
    <n v="32"/>
  </r>
  <r>
    <n v="714"/>
    <x v="713"/>
    <n v="54"/>
    <x v="2"/>
    <x v="3"/>
    <x v="2"/>
    <x v="1"/>
    <n v="2"/>
    <n v="40800"/>
    <d v="2023-06-29T00:00:00"/>
    <d v="2024-06-10T00:00:00"/>
    <n v="88"/>
    <n v="-9"/>
    <x v="1"/>
    <n v="347"/>
  </r>
  <r>
    <n v="715"/>
    <x v="714"/>
    <n v="33"/>
    <x v="3"/>
    <x v="3"/>
    <x v="0"/>
    <x v="0"/>
    <n v="8"/>
    <n v="63200"/>
    <d v="2022-03-24T00:00:00"/>
    <d v="2022-10-10T00:00:00"/>
    <n v="4808"/>
    <n v="600"/>
    <x v="0"/>
    <n v="200"/>
  </r>
  <r>
    <n v="716"/>
    <x v="715"/>
    <n v="38"/>
    <x v="3"/>
    <x v="0"/>
    <x v="1"/>
    <x v="0"/>
    <n v="2"/>
    <n v="3800"/>
    <d v="2022-06-01T00:00:00"/>
    <d v="2023-02-10T00:00:00"/>
    <n v="238"/>
    <n v="477"/>
    <x v="0"/>
    <n v="254"/>
  </r>
  <r>
    <n v="717"/>
    <x v="716"/>
    <n v="64"/>
    <x v="4"/>
    <x v="0"/>
    <x v="0"/>
    <x v="2"/>
    <n v="9"/>
    <n v="7200"/>
    <d v="2023-05-01T00:00:00"/>
    <d v="2023-10-25T00:00:00"/>
    <n v="5544"/>
    <n v="220"/>
    <x v="0"/>
    <n v="177"/>
  </r>
  <r>
    <n v="718"/>
    <x v="717"/>
    <n v="25"/>
    <x v="5"/>
    <x v="0"/>
    <x v="0"/>
    <x v="0"/>
    <n v="1"/>
    <n v="1000"/>
    <d v="2023-06-17T00:00:00"/>
    <d v="2024-05-12T00:00:00"/>
    <n v="611"/>
    <n v="20"/>
    <x v="1"/>
    <n v="330"/>
  </r>
  <r>
    <n v="719"/>
    <x v="718"/>
    <n v="58"/>
    <x v="1"/>
    <x v="2"/>
    <x v="0"/>
    <x v="2"/>
    <n v="9"/>
    <n v="89100"/>
    <d v="2023-07-16T00:00:00"/>
    <d v="2024-02-28T00:00:00"/>
    <n v="5571"/>
    <n v="94"/>
    <x v="1"/>
    <n v="227"/>
  </r>
  <r>
    <n v="720"/>
    <x v="719"/>
    <n v="37"/>
    <x v="3"/>
    <x v="1"/>
    <x v="0"/>
    <x v="0"/>
    <n v="4"/>
    <n v="12000"/>
    <d v="2023-01-16T00:00:00"/>
    <d v="2024-05-27T00:00:00"/>
    <n v="2432"/>
    <n v="5"/>
    <x v="1"/>
    <n v="497"/>
  </r>
  <r>
    <n v="721"/>
    <x v="720"/>
    <n v="50"/>
    <x v="7"/>
    <x v="1"/>
    <x v="0"/>
    <x v="0"/>
    <n v="3"/>
    <n v="10500"/>
    <d v="2022-06-14T00:00:00"/>
    <d v="2023-06-13T00:00:00"/>
    <n v="1872"/>
    <n v="354"/>
    <x v="0"/>
    <n v="364"/>
  </r>
  <r>
    <n v="722"/>
    <x v="721"/>
    <n v="31"/>
    <x v="3"/>
    <x v="1"/>
    <x v="3"/>
    <x v="0"/>
    <n v="4"/>
    <n v="6000"/>
    <d v="2022-02-12T00:00:00"/>
    <d v="2022-07-24T00:00:00"/>
    <n v="264"/>
    <n v="678"/>
    <x v="0"/>
    <n v="162"/>
  </r>
  <r>
    <n v="723"/>
    <x v="722"/>
    <n v="32"/>
    <x v="6"/>
    <x v="3"/>
    <x v="0"/>
    <x v="0"/>
    <n v="4"/>
    <n v="93600"/>
    <d v="2022-02-05T00:00:00"/>
    <d v="2023-01-11T00:00:00"/>
    <n v="2440"/>
    <n v="507"/>
    <x v="0"/>
    <n v="340"/>
  </r>
  <r>
    <n v="724"/>
    <x v="723"/>
    <n v="55"/>
    <x v="2"/>
    <x v="1"/>
    <x v="0"/>
    <x v="2"/>
    <n v="3"/>
    <n v="9600"/>
    <d v="2022-11-05T00:00:00"/>
    <d v="2023-01-06T00:00:00"/>
    <n v="1773"/>
    <n v="512"/>
    <x v="0"/>
    <n v="62"/>
  </r>
  <r>
    <n v="725"/>
    <x v="724"/>
    <n v="41"/>
    <x v="1"/>
    <x v="3"/>
    <x v="3"/>
    <x v="2"/>
    <n v="3"/>
    <n v="15300"/>
    <d v="2023-07-14T00:00:00"/>
    <d v="2024-11-24T00:00:00"/>
    <n v="186"/>
    <n v="-176"/>
    <x v="1"/>
    <n v="499"/>
  </r>
  <r>
    <n v="726"/>
    <x v="725"/>
    <n v="57"/>
    <x v="2"/>
    <x v="2"/>
    <x v="2"/>
    <x v="0"/>
    <n v="3"/>
    <n v="28800"/>
    <d v="2023-08-02T00:00:00"/>
    <d v="2024-08-09T00:00:00"/>
    <n v="114"/>
    <n v="-69"/>
    <x v="1"/>
    <n v="373"/>
  </r>
  <r>
    <n v="727"/>
    <x v="726"/>
    <n v="29"/>
    <x v="2"/>
    <x v="0"/>
    <x v="2"/>
    <x v="0"/>
    <n v="9"/>
    <n v="6300"/>
    <d v="2022-11-12T00:00:00"/>
    <d v="2022-11-24T00:00:00"/>
    <n v="315"/>
    <n v="555"/>
    <x v="0"/>
    <n v="12"/>
  </r>
  <r>
    <n v="728"/>
    <x v="727"/>
    <n v="41"/>
    <x v="4"/>
    <x v="3"/>
    <x v="0"/>
    <x v="0"/>
    <n v="1"/>
    <n v="24900"/>
    <d v="2022-07-19T00:00:00"/>
    <d v="2023-05-13T00:00:00"/>
    <n v="623"/>
    <n v="385"/>
    <x v="0"/>
    <n v="298"/>
  </r>
  <r>
    <n v="729"/>
    <x v="728"/>
    <n v="26"/>
    <x v="4"/>
    <x v="2"/>
    <x v="3"/>
    <x v="0"/>
    <n v="9"/>
    <n v="90000"/>
    <d v="2023-04-02T00:00:00"/>
    <d v="2024-03-13T00:00:00"/>
    <n v="315"/>
    <n v="80"/>
    <x v="1"/>
    <n v="346"/>
  </r>
  <r>
    <n v="730"/>
    <x v="729"/>
    <n v="59"/>
    <x v="1"/>
    <x v="1"/>
    <x v="2"/>
    <x v="0"/>
    <n v="10"/>
    <n v="31000"/>
    <d v="2022-02-27T00:00:00"/>
    <d v="2023-06-07T00:00:00"/>
    <n v="330"/>
    <n v="360"/>
    <x v="0"/>
    <n v="465"/>
  </r>
  <r>
    <n v="731"/>
    <x v="730"/>
    <n v="45"/>
    <x v="1"/>
    <x v="1"/>
    <x v="2"/>
    <x v="0"/>
    <n v="6"/>
    <n v="6000"/>
    <d v="2022-10-19T00:00:00"/>
    <d v="2023-04-13T00:00:00"/>
    <n v="192"/>
    <n v="415"/>
    <x v="0"/>
    <n v="176"/>
  </r>
  <r>
    <n v="732"/>
    <x v="731"/>
    <n v="49"/>
    <x v="3"/>
    <x v="3"/>
    <x v="1"/>
    <x v="0"/>
    <n v="7"/>
    <n v="136500"/>
    <d v="2022-10-23T00:00:00"/>
    <d v="2023-01-14T00:00:00"/>
    <n v="959"/>
    <n v="504"/>
    <x v="0"/>
    <n v="83"/>
  </r>
  <r>
    <n v="733"/>
    <x v="732"/>
    <n v="34"/>
    <x v="1"/>
    <x v="1"/>
    <x v="1"/>
    <x v="0"/>
    <n v="5"/>
    <n v="14500"/>
    <d v="2023-06-22T00:00:00"/>
    <d v="2023-12-10T00:00:00"/>
    <n v="570"/>
    <n v="174"/>
    <x v="1"/>
    <n v="171"/>
  </r>
  <r>
    <n v="734"/>
    <x v="733"/>
    <n v="61"/>
    <x v="1"/>
    <x v="0"/>
    <x v="1"/>
    <x v="2"/>
    <n v="5"/>
    <n v="6500"/>
    <d v="2022-06-29T00:00:00"/>
    <d v="2023-04-09T00:00:00"/>
    <n v="695"/>
    <n v="419"/>
    <x v="0"/>
    <n v="284"/>
  </r>
  <r>
    <n v="735"/>
    <x v="734"/>
    <n v="39"/>
    <x v="6"/>
    <x v="1"/>
    <x v="3"/>
    <x v="2"/>
    <n v="9"/>
    <n v="27000"/>
    <d v="2022-02-13T00:00:00"/>
    <d v="2023-04-10T00:00:00"/>
    <n v="441"/>
    <n v="418"/>
    <x v="0"/>
    <n v="421"/>
  </r>
  <r>
    <n v="736"/>
    <x v="735"/>
    <n v="22"/>
    <x v="3"/>
    <x v="3"/>
    <x v="2"/>
    <x v="0"/>
    <n v="1"/>
    <n v="10000"/>
    <d v="2022-09-26T00:00:00"/>
    <d v="2023-02-26T00:00:00"/>
    <n v="50"/>
    <n v="461"/>
    <x v="0"/>
    <n v="153"/>
  </r>
  <r>
    <n v="737"/>
    <x v="736"/>
    <n v="32"/>
    <x v="5"/>
    <x v="0"/>
    <x v="0"/>
    <x v="2"/>
    <n v="8"/>
    <n v="15200"/>
    <d v="2022-09-08T00:00:00"/>
    <d v="2022-09-22T00:00:00"/>
    <n v="4776"/>
    <n v="618"/>
    <x v="0"/>
    <n v="14"/>
  </r>
  <r>
    <n v="738"/>
    <x v="737"/>
    <n v="44"/>
    <x v="3"/>
    <x v="3"/>
    <x v="1"/>
    <x v="1"/>
    <n v="10"/>
    <n v="207000"/>
    <d v="2023-08-03T00:00:00"/>
    <d v="2024-03-13T00:00:00"/>
    <n v="1260"/>
    <n v="80"/>
    <x v="1"/>
    <n v="223"/>
  </r>
  <r>
    <n v="739"/>
    <x v="738"/>
    <n v="57"/>
    <x v="5"/>
    <x v="0"/>
    <x v="0"/>
    <x v="1"/>
    <n v="1"/>
    <n v="1000"/>
    <d v="2022-06-16T00:00:00"/>
    <d v="2023-04-09T00:00:00"/>
    <n v="593"/>
    <n v="419"/>
    <x v="0"/>
    <n v="297"/>
  </r>
  <r>
    <n v="740"/>
    <x v="739"/>
    <n v="43"/>
    <x v="6"/>
    <x v="2"/>
    <x v="2"/>
    <x v="0"/>
    <n v="3"/>
    <n v="10200"/>
    <d v="2022-10-07T00:00:00"/>
    <d v="2023-04-09T00:00:00"/>
    <n v="108"/>
    <n v="419"/>
    <x v="0"/>
    <n v="184"/>
  </r>
  <r>
    <n v="741"/>
    <x v="740"/>
    <n v="54"/>
    <x v="2"/>
    <x v="0"/>
    <x v="0"/>
    <x v="0"/>
    <n v="2"/>
    <n v="3200"/>
    <d v="2022-07-18T00:00:00"/>
    <d v="2023-08-14T00:00:00"/>
    <n v="1260"/>
    <n v="292"/>
    <x v="0"/>
    <n v="392"/>
  </r>
  <r>
    <n v="742"/>
    <x v="741"/>
    <n v="41"/>
    <x v="6"/>
    <x v="0"/>
    <x v="3"/>
    <x v="1"/>
    <n v="6"/>
    <n v="11400"/>
    <d v="2022-11-05T00:00:00"/>
    <d v="2023-03-23T00:00:00"/>
    <n v="318"/>
    <n v="436"/>
    <x v="0"/>
    <n v="138"/>
  </r>
  <r>
    <n v="743"/>
    <x v="742"/>
    <n v="29"/>
    <x v="0"/>
    <x v="2"/>
    <x v="3"/>
    <x v="0"/>
    <n v="9"/>
    <n v="47700"/>
    <d v="2023-01-17T00:00:00"/>
    <d v="2024-02-19T00:00:00"/>
    <n v="549"/>
    <n v="103"/>
    <x v="1"/>
    <n v="398"/>
  </r>
  <r>
    <n v="744"/>
    <x v="743"/>
    <n v="34"/>
    <x v="1"/>
    <x v="2"/>
    <x v="3"/>
    <x v="0"/>
    <n v="3"/>
    <n v="21300"/>
    <d v="2022-08-15T00:00:00"/>
    <d v="2023-10-14T00:00:00"/>
    <n v="126"/>
    <n v="231"/>
    <x v="0"/>
    <n v="425"/>
  </r>
  <r>
    <n v="745"/>
    <x v="744"/>
    <n v="28"/>
    <x v="0"/>
    <x v="3"/>
    <x v="2"/>
    <x v="0"/>
    <n v="3"/>
    <n v="16800"/>
    <d v="2023-05-07T00:00:00"/>
    <d v="2023-11-01T00:00:00"/>
    <n v="87"/>
    <n v="213"/>
    <x v="0"/>
    <n v="178"/>
  </r>
  <r>
    <n v="746"/>
    <x v="745"/>
    <n v="54"/>
    <x v="2"/>
    <x v="1"/>
    <x v="2"/>
    <x v="1"/>
    <n v="6"/>
    <n v="10200"/>
    <d v="2022-11-08T00:00:00"/>
    <d v="2022-11-22T00:00:00"/>
    <n v="102"/>
    <n v="557"/>
    <x v="0"/>
    <n v="14"/>
  </r>
  <r>
    <n v="747"/>
    <x v="746"/>
    <n v="40"/>
    <x v="4"/>
    <x v="1"/>
    <x v="3"/>
    <x v="0"/>
    <n v="3"/>
    <n v="5700"/>
    <d v="2022-05-14T00:00:00"/>
    <d v="2022-06-23T00:00:00"/>
    <n v="171"/>
    <n v="709"/>
    <x v="0"/>
    <n v="40"/>
  </r>
  <r>
    <n v="748"/>
    <x v="747"/>
    <n v="48"/>
    <x v="0"/>
    <x v="0"/>
    <x v="1"/>
    <x v="2"/>
    <n v="1"/>
    <n v="900"/>
    <d v="2022-04-21T00:00:00"/>
    <d v="2022-05-07T00:00:00"/>
    <n v="142"/>
    <n v="756"/>
    <x v="0"/>
    <n v="16"/>
  </r>
  <r>
    <n v="749"/>
    <x v="748"/>
    <n v="23"/>
    <x v="7"/>
    <x v="3"/>
    <x v="1"/>
    <x v="0"/>
    <n v="2"/>
    <n v="29800"/>
    <d v="2022-01-11T00:00:00"/>
    <d v="2023-02-01T00:00:00"/>
    <n v="232"/>
    <n v="486"/>
    <x v="0"/>
    <n v="386"/>
  </r>
  <r>
    <n v="750"/>
    <x v="749"/>
    <n v="63"/>
    <x v="0"/>
    <x v="1"/>
    <x v="3"/>
    <x v="0"/>
    <n v="6"/>
    <n v="6600"/>
    <d v="2022-04-03T00:00:00"/>
    <d v="2022-06-16T00:00:00"/>
    <n v="282"/>
    <n v="716"/>
    <x v="0"/>
    <n v="74"/>
  </r>
  <r>
    <n v="751"/>
    <x v="750"/>
    <n v="60"/>
    <x v="2"/>
    <x v="2"/>
    <x v="3"/>
    <x v="1"/>
    <n v="4"/>
    <n v="28400"/>
    <d v="2023-08-07T00:00:00"/>
    <d v="2023-09-10T00:00:00"/>
    <n v="144"/>
    <n v="265"/>
    <x v="0"/>
    <n v="34"/>
  </r>
  <r>
    <n v="752"/>
    <x v="751"/>
    <n v="31"/>
    <x v="7"/>
    <x v="1"/>
    <x v="3"/>
    <x v="0"/>
    <n v="9"/>
    <n v="9000"/>
    <d v="2022-04-12T00:00:00"/>
    <d v="2023-07-29T00:00:00"/>
    <n v="387"/>
    <n v="308"/>
    <x v="0"/>
    <n v="473"/>
  </r>
  <r>
    <n v="753"/>
    <x v="752"/>
    <n v="64"/>
    <x v="5"/>
    <x v="2"/>
    <x v="3"/>
    <x v="2"/>
    <n v="2"/>
    <n v="9000"/>
    <d v="2022-12-30T00:00:00"/>
    <d v="2023-07-12T00:00:00"/>
    <n v="114"/>
    <n v="325"/>
    <x v="0"/>
    <n v="194"/>
  </r>
  <r>
    <n v="754"/>
    <x v="753"/>
    <n v="41"/>
    <x v="4"/>
    <x v="1"/>
    <x v="2"/>
    <x v="0"/>
    <n v="2"/>
    <n v="5800"/>
    <d v="2022-04-23T00:00:00"/>
    <d v="2023-01-14T00:00:00"/>
    <n v="36"/>
    <n v="504"/>
    <x v="0"/>
    <n v="266"/>
  </r>
  <r>
    <n v="755"/>
    <x v="754"/>
    <n v="23"/>
    <x v="5"/>
    <x v="2"/>
    <x v="0"/>
    <x v="1"/>
    <n v="2"/>
    <n v="11400"/>
    <d v="2023-05-21T00:00:00"/>
    <d v="2023-07-19T00:00:00"/>
    <n v="1228"/>
    <n v="318"/>
    <x v="0"/>
    <n v="59"/>
  </r>
  <r>
    <n v="756"/>
    <x v="755"/>
    <n v="35"/>
    <x v="3"/>
    <x v="3"/>
    <x v="0"/>
    <x v="2"/>
    <n v="9"/>
    <n v="164700"/>
    <d v="2022-10-25T00:00:00"/>
    <d v="2024-01-05T00:00:00"/>
    <n v="5553"/>
    <n v="148"/>
    <x v="1"/>
    <n v="437"/>
  </r>
  <r>
    <n v="757"/>
    <x v="756"/>
    <n v="32"/>
    <x v="4"/>
    <x v="0"/>
    <x v="2"/>
    <x v="0"/>
    <n v="1"/>
    <n v="1900"/>
    <d v="2023-05-19T00:00:00"/>
    <d v="2024-04-27T00:00:00"/>
    <n v="16"/>
    <n v="35"/>
    <x v="1"/>
    <n v="344"/>
  </r>
  <r>
    <n v="758"/>
    <x v="757"/>
    <n v="30"/>
    <x v="1"/>
    <x v="3"/>
    <x v="1"/>
    <x v="0"/>
    <n v="7"/>
    <n v="126700"/>
    <d v="2022-04-15T00:00:00"/>
    <d v="2023-04-29T00:00:00"/>
    <n v="840"/>
    <n v="399"/>
    <x v="0"/>
    <n v="379"/>
  </r>
  <r>
    <n v="759"/>
    <x v="758"/>
    <n v="33"/>
    <x v="0"/>
    <x v="2"/>
    <x v="3"/>
    <x v="0"/>
    <n v="10"/>
    <n v="99000"/>
    <d v="2023-02-18T00:00:00"/>
    <d v="2023-04-21T00:00:00"/>
    <n v="440"/>
    <n v="407"/>
    <x v="0"/>
    <n v="62"/>
  </r>
  <r>
    <n v="760"/>
    <x v="759"/>
    <n v="58"/>
    <x v="1"/>
    <x v="3"/>
    <x v="0"/>
    <x v="1"/>
    <n v="5"/>
    <n v="90500"/>
    <d v="2022-12-31T00:00:00"/>
    <d v="2023-08-31T00:00:00"/>
    <n v="3140"/>
    <n v="275"/>
    <x v="0"/>
    <n v="243"/>
  </r>
  <r>
    <n v="761"/>
    <x v="760"/>
    <n v="50"/>
    <x v="1"/>
    <x v="3"/>
    <x v="0"/>
    <x v="0"/>
    <n v="2"/>
    <n v="18000"/>
    <d v="2022-09-14T00:00:00"/>
    <d v="2023-05-22T00:00:00"/>
    <n v="1242"/>
    <n v="376"/>
    <x v="0"/>
    <n v="250"/>
  </r>
  <r>
    <n v="762"/>
    <x v="761"/>
    <n v="24"/>
    <x v="4"/>
    <x v="1"/>
    <x v="1"/>
    <x v="0"/>
    <n v="2"/>
    <n v="6000"/>
    <d v="2022-01-28T00:00:00"/>
    <d v="2023-06-09T00:00:00"/>
    <n v="242"/>
    <n v="358"/>
    <x v="0"/>
    <n v="497"/>
  </r>
  <r>
    <n v="763"/>
    <x v="762"/>
    <n v="60"/>
    <x v="1"/>
    <x v="2"/>
    <x v="3"/>
    <x v="0"/>
    <n v="10"/>
    <n v="38000"/>
    <d v="2022-03-20T00:00:00"/>
    <d v="2023-02-21T00:00:00"/>
    <n v="630"/>
    <n v="466"/>
    <x v="0"/>
    <n v="338"/>
  </r>
  <r>
    <n v="764"/>
    <x v="763"/>
    <n v="63"/>
    <x v="5"/>
    <x v="3"/>
    <x v="3"/>
    <x v="0"/>
    <n v="8"/>
    <n v="168800"/>
    <d v="2023-06-01T00:00:00"/>
    <d v="2023-10-12T00:00:00"/>
    <n v="512"/>
    <n v="233"/>
    <x v="0"/>
    <n v="133"/>
  </r>
  <r>
    <n v="765"/>
    <x v="764"/>
    <n v="28"/>
    <x v="2"/>
    <x v="0"/>
    <x v="1"/>
    <x v="2"/>
    <n v="7"/>
    <n v="9800"/>
    <d v="2022-11-19T00:00:00"/>
    <d v="2024-01-29T00:00:00"/>
    <n v="938"/>
    <n v="124"/>
    <x v="1"/>
    <n v="436"/>
  </r>
  <r>
    <n v="766"/>
    <x v="765"/>
    <n v="32"/>
    <x v="5"/>
    <x v="3"/>
    <x v="1"/>
    <x v="0"/>
    <n v="9"/>
    <n v="134100"/>
    <d v="2022-06-18T00:00:00"/>
    <d v="2023-02-24T00:00:00"/>
    <n v="1233"/>
    <n v="463"/>
    <x v="0"/>
    <n v="251"/>
  </r>
  <r>
    <n v="767"/>
    <x v="766"/>
    <n v="28"/>
    <x v="6"/>
    <x v="2"/>
    <x v="2"/>
    <x v="2"/>
    <n v="10"/>
    <n v="85000"/>
    <d v="2023-05-18T00:00:00"/>
    <d v="2024-04-19T00:00:00"/>
    <n v="450"/>
    <n v="43"/>
    <x v="1"/>
    <n v="337"/>
  </r>
  <r>
    <n v="768"/>
    <x v="767"/>
    <n v="24"/>
    <x v="5"/>
    <x v="3"/>
    <x v="3"/>
    <x v="1"/>
    <n v="7"/>
    <n v="95200"/>
    <d v="2023-05-22T00:00:00"/>
    <d v="2024-03-19T00:00:00"/>
    <n v="378"/>
    <n v="74"/>
    <x v="1"/>
    <n v="302"/>
  </r>
  <r>
    <n v="769"/>
    <x v="768"/>
    <n v="22"/>
    <x v="2"/>
    <x v="2"/>
    <x v="0"/>
    <x v="0"/>
    <n v="10"/>
    <n v="34000"/>
    <d v="2022-05-12T00:00:00"/>
    <d v="2023-07-14T00:00:00"/>
    <n v="6130"/>
    <n v="323"/>
    <x v="0"/>
    <n v="428"/>
  </r>
  <r>
    <n v="770"/>
    <x v="769"/>
    <n v="27"/>
    <x v="2"/>
    <x v="0"/>
    <x v="0"/>
    <x v="2"/>
    <n v="7"/>
    <n v="8400"/>
    <d v="2023-01-01T00:00:00"/>
    <d v="2023-07-30T00:00:00"/>
    <n v="4284"/>
    <n v="307"/>
    <x v="0"/>
    <n v="210"/>
  </r>
  <r>
    <n v="771"/>
    <x v="770"/>
    <n v="62"/>
    <x v="7"/>
    <x v="1"/>
    <x v="3"/>
    <x v="0"/>
    <n v="5"/>
    <n v="17000"/>
    <d v="2022-03-28T00:00:00"/>
    <d v="2023-07-07T00:00:00"/>
    <n v="170"/>
    <n v="330"/>
    <x v="0"/>
    <n v="466"/>
  </r>
  <r>
    <n v="772"/>
    <x v="771"/>
    <n v="22"/>
    <x v="3"/>
    <x v="0"/>
    <x v="0"/>
    <x v="0"/>
    <n v="9"/>
    <n v="10800"/>
    <d v="2022-02-08T00:00:00"/>
    <d v="2022-10-01T00:00:00"/>
    <n v="5553"/>
    <n v="609"/>
    <x v="0"/>
    <n v="235"/>
  </r>
  <r>
    <n v="773"/>
    <x v="772"/>
    <n v="58"/>
    <x v="1"/>
    <x v="2"/>
    <x v="1"/>
    <x v="2"/>
    <n v="1"/>
    <n v="5600"/>
    <d v="2023-01-22T00:00:00"/>
    <d v="2023-11-10T00:00:00"/>
    <n v="134"/>
    <n v="204"/>
    <x v="0"/>
    <n v="292"/>
  </r>
  <r>
    <n v="774"/>
    <x v="773"/>
    <n v="65"/>
    <x v="2"/>
    <x v="0"/>
    <x v="2"/>
    <x v="0"/>
    <n v="4"/>
    <n v="4800"/>
    <d v="2023-05-24T00:00:00"/>
    <d v="2024-02-05T00:00:00"/>
    <n v="124"/>
    <n v="117"/>
    <x v="1"/>
    <n v="257"/>
  </r>
  <r>
    <n v="775"/>
    <x v="774"/>
    <n v="33"/>
    <x v="6"/>
    <x v="2"/>
    <x v="0"/>
    <x v="2"/>
    <n v="8"/>
    <n v="65600"/>
    <d v="2022-03-19T00:00:00"/>
    <d v="2023-05-23T00:00:00"/>
    <n v="4992"/>
    <n v="375"/>
    <x v="0"/>
    <n v="430"/>
  </r>
  <r>
    <n v="776"/>
    <x v="775"/>
    <n v="40"/>
    <x v="4"/>
    <x v="2"/>
    <x v="0"/>
    <x v="0"/>
    <n v="10"/>
    <n v="63000"/>
    <d v="2022-08-20T00:00:00"/>
    <d v="2023-07-05T00:00:00"/>
    <n v="5950"/>
    <n v="332"/>
    <x v="0"/>
    <n v="319"/>
  </r>
  <r>
    <n v="777"/>
    <x v="776"/>
    <n v="57"/>
    <x v="0"/>
    <x v="2"/>
    <x v="0"/>
    <x v="0"/>
    <n v="9"/>
    <n v="62100"/>
    <d v="2023-03-14T00:00:00"/>
    <d v="2023-06-29T00:00:00"/>
    <n v="5508"/>
    <n v="338"/>
    <x v="0"/>
    <n v="107"/>
  </r>
  <r>
    <n v="778"/>
    <x v="777"/>
    <n v="63"/>
    <x v="0"/>
    <x v="2"/>
    <x v="0"/>
    <x v="2"/>
    <n v="9"/>
    <n v="50400"/>
    <d v="2022-07-24T00:00:00"/>
    <d v="2023-02-21T00:00:00"/>
    <n v="5535"/>
    <n v="466"/>
    <x v="0"/>
    <n v="212"/>
  </r>
  <r>
    <n v="779"/>
    <x v="778"/>
    <n v="61"/>
    <x v="3"/>
    <x v="3"/>
    <x v="3"/>
    <x v="0"/>
    <n v="9"/>
    <n v="99900"/>
    <d v="2023-08-14T00:00:00"/>
    <d v="2024-04-25T00:00:00"/>
    <n v="387"/>
    <n v="37"/>
    <x v="1"/>
    <n v="255"/>
  </r>
  <r>
    <n v="780"/>
    <x v="779"/>
    <n v="61"/>
    <x v="5"/>
    <x v="2"/>
    <x v="2"/>
    <x v="1"/>
    <n v="1"/>
    <n v="7300"/>
    <d v="2022-07-25T00:00:00"/>
    <d v="2023-01-27T00:00:00"/>
    <n v="39"/>
    <n v="491"/>
    <x v="0"/>
    <n v="186"/>
  </r>
  <r>
    <n v="781"/>
    <x v="780"/>
    <n v="48"/>
    <x v="6"/>
    <x v="1"/>
    <x v="3"/>
    <x v="0"/>
    <n v="7"/>
    <n v="16100"/>
    <d v="2022-03-07T00:00:00"/>
    <d v="2023-01-25T00:00:00"/>
    <n v="301"/>
    <n v="493"/>
    <x v="0"/>
    <n v="324"/>
  </r>
  <r>
    <n v="782"/>
    <x v="781"/>
    <n v="37"/>
    <x v="1"/>
    <x v="2"/>
    <x v="0"/>
    <x v="0"/>
    <n v="10"/>
    <n v="49000"/>
    <d v="2023-02-20T00:00:00"/>
    <d v="2023-06-22T00:00:00"/>
    <n v="5970"/>
    <n v="345"/>
    <x v="0"/>
    <n v="122"/>
  </r>
  <r>
    <n v="783"/>
    <x v="782"/>
    <n v="40"/>
    <x v="6"/>
    <x v="1"/>
    <x v="1"/>
    <x v="0"/>
    <n v="8"/>
    <n v="24000"/>
    <d v="2023-07-28T00:00:00"/>
    <d v="2024-03-07T00:00:00"/>
    <n v="1096"/>
    <n v="86"/>
    <x v="1"/>
    <n v="223"/>
  </r>
  <r>
    <n v="784"/>
    <x v="783"/>
    <n v="29"/>
    <x v="7"/>
    <x v="1"/>
    <x v="3"/>
    <x v="0"/>
    <n v="1"/>
    <n v="2100"/>
    <d v="2022-10-12T00:00:00"/>
    <d v="2023-09-14T00:00:00"/>
    <n v="65"/>
    <n v="261"/>
    <x v="0"/>
    <n v="337"/>
  </r>
  <r>
    <n v="785"/>
    <x v="784"/>
    <n v="24"/>
    <x v="6"/>
    <x v="0"/>
    <x v="2"/>
    <x v="0"/>
    <n v="2"/>
    <n v="2200"/>
    <d v="2022-11-02T00:00:00"/>
    <d v="2024-01-19T00:00:00"/>
    <n v="28"/>
    <n v="134"/>
    <x v="1"/>
    <n v="443"/>
  </r>
  <r>
    <n v="786"/>
    <x v="785"/>
    <n v="29"/>
    <x v="1"/>
    <x v="2"/>
    <x v="1"/>
    <x v="2"/>
    <n v="4"/>
    <n v="15600"/>
    <d v="2023-08-08T00:00:00"/>
    <d v="2024-08-18T00:00:00"/>
    <n v="568"/>
    <n v="-78"/>
    <x v="1"/>
    <n v="376"/>
  </r>
  <r>
    <n v="787"/>
    <x v="786"/>
    <n v="36"/>
    <x v="0"/>
    <x v="2"/>
    <x v="2"/>
    <x v="0"/>
    <n v="10"/>
    <n v="40000"/>
    <d v="2022-11-17T00:00:00"/>
    <d v="2023-05-04T00:00:00"/>
    <n v="470"/>
    <n v="394"/>
    <x v="0"/>
    <n v="168"/>
  </r>
  <r>
    <n v="788"/>
    <x v="787"/>
    <n v="30"/>
    <x v="1"/>
    <x v="1"/>
    <x v="2"/>
    <x v="0"/>
    <n v="2"/>
    <n v="3400"/>
    <d v="2022-08-08T00:00:00"/>
    <d v="2023-12-17T00:00:00"/>
    <n v="54"/>
    <n v="167"/>
    <x v="1"/>
    <n v="496"/>
  </r>
  <r>
    <n v="789"/>
    <x v="788"/>
    <n v="24"/>
    <x v="5"/>
    <x v="3"/>
    <x v="0"/>
    <x v="1"/>
    <n v="8"/>
    <n v="180000"/>
    <d v="2023-01-19T00:00:00"/>
    <d v="2024-01-12T00:00:00"/>
    <n v="4776"/>
    <n v="141"/>
    <x v="1"/>
    <n v="358"/>
  </r>
  <r>
    <n v="790"/>
    <x v="789"/>
    <n v="38"/>
    <x v="2"/>
    <x v="3"/>
    <x v="2"/>
    <x v="0"/>
    <n v="3"/>
    <n v="50700"/>
    <d v="2023-05-02T00:00:00"/>
    <d v="2024-05-02T00:00:00"/>
    <n v="99"/>
    <n v="30"/>
    <x v="1"/>
    <n v="366"/>
  </r>
  <r>
    <n v="791"/>
    <x v="790"/>
    <n v="65"/>
    <x v="3"/>
    <x v="0"/>
    <x v="1"/>
    <x v="0"/>
    <n v="4"/>
    <n v="4000"/>
    <d v="2023-07-20T00:00:00"/>
    <d v="2024-02-01T00:00:00"/>
    <n v="516"/>
    <n v="121"/>
    <x v="1"/>
    <n v="196"/>
  </r>
  <r>
    <n v="792"/>
    <x v="791"/>
    <n v="45"/>
    <x v="2"/>
    <x v="0"/>
    <x v="3"/>
    <x v="2"/>
    <n v="1"/>
    <n v="1300"/>
    <d v="2022-09-19T00:00:00"/>
    <d v="2023-02-20T00:00:00"/>
    <n v="35"/>
    <n v="467"/>
    <x v="0"/>
    <n v="154"/>
  </r>
  <r>
    <n v="793"/>
    <x v="792"/>
    <n v="49"/>
    <x v="4"/>
    <x v="2"/>
    <x v="3"/>
    <x v="0"/>
    <n v="6"/>
    <n v="58200"/>
    <d v="2023-02-21T00:00:00"/>
    <d v="2024-03-31T00:00:00"/>
    <n v="192"/>
    <n v="62"/>
    <x v="1"/>
    <n v="404"/>
  </r>
  <r>
    <n v="794"/>
    <x v="793"/>
    <n v="47"/>
    <x v="3"/>
    <x v="0"/>
    <x v="2"/>
    <x v="2"/>
    <n v="6"/>
    <n v="12000"/>
    <d v="2023-03-09T00:00:00"/>
    <d v="2024-05-30T00:00:00"/>
    <n v="96"/>
    <n v="2"/>
    <x v="1"/>
    <n v="448"/>
  </r>
  <r>
    <n v="795"/>
    <x v="794"/>
    <n v="47"/>
    <x v="6"/>
    <x v="2"/>
    <x v="1"/>
    <x v="0"/>
    <n v="10"/>
    <n v="90000"/>
    <d v="2023-07-15T00:00:00"/>
    <d v="2024-07-26T00:00:00"/>
    <n v="1300"/>
    <n v="-55"/>
    <x v="1"/>
    <n v="377"/>
  </r>
  <r>
    <n v="796"/>
    <x v="795"/>
    <n v="61"/>
    <x v="5"/>
    <x v="0"/>
    <x v="1"/>
    <x v="0"/>
    <n v="8"/>
    <n v="14400"/>
    <d v="2022-05-20T00:00:00"/>
    <d v="2022-05-21T00:00:00"/>
    <n v="1080"/>
    <n v="742"/>
    <x v="0"/>
    <n v="1"/>
  </r>
  <r>
    <n v="797"/>
    <x v="796"/>
    <n v="26"/>
    <x v="4"/>
    <x v="2"/>
    <x v="0"/>
    <x v="1"/>
    <n v="2"/>
    <n v="8600"/>
    <d v="2022-09-13T00:00:00"/>
    <d v="2023-06-04T00:00:00"/>
    <n v="1196"/>
    <n v="363"/>
    <x v="0"/>
    <n v="264"/>
  </r>
  <r>
    <n v="798"/>
    <x v="797"/>
    <n v="29"/>
    <x v="1"/>
    <x v="2"/>
    <x v="2"/>
    <x v="2"/>
    <n v="5"/>
    <n v="22000"/>
    <d v="2022-12-02T00:00:00"/>
    <d v="2024-01-15T00:00:00"/>
    <n v="140"/>
    <n v="138"/>
    <x v="1"/>
    <n v="409"/>
  </r>
  <r>
    <n v="799"/>
    <x v="798"/>
    <n v="32"/>
    <x v="4"/>
    <x v="0"/>
    <x v="2"/>
    <x v="0"/>
    <n v="7"/>
    <n v="9100"/>
    <d v="2023-08-08T00:00:00"/>
    <d v="2023-11-30T00:00:00"/>
    <n v="77"/>
    <n v="184"/>
    <x v="0"/>
    <n v="114"/>
  </r>
  <r>
    <n v="800"/>
    <x v="799"/>
    <n v="33"/>
    <x v="7"/>
    <x v="1"/>
    <x v="1"/>
    <x v="2"/>
    <n v="5"/>
    <n v="19500"/>
    <d v="2022-06-22T00:00:00"/>
    <d v="2022-07-17T00:00:00"/>
    <n v="675"/>
    <n v="685"/>
    <x v="0"/>
    <n v="25"/>
  </r>
  <r>
    <n v="801"/>
    <x v="800"/>
    <n v="44"/>
    <x v="1"/>
    <x v="2"/>
    <x v="3"/>
    <x v="0"/>
    <n v="3"/>
    <n v="22800"/>
    <d v="2022-05-01T00:00:00"/>
    <d v="2022-05-08T00:00:00"/>
    <n v="189"/>
    <n v="755"/>
    <x v="0"/>
    <n v="7"/>
  </r>
  <r>
    <n v="802"/>
    <x v="801"/>
    <n v="35"/>
    <x v="1"/>
    <x v="3"/>
    <x v="2"/>
    <x v="0"/>
    <n v="4"/>
    <n v="44800"/>
    <d v="2022-09-30T00:00:00"/>
    <d v="2023-02-24T00:00:00"/>
    <n v="164"/>
    <n v="463"/>
    <x v="0"/>
    <n v="147"/>
  </r>
  <r>
    <n v="803"/>
    <x v="802"/>
    <n v="59"/>
    <x v="1"/>
    <x v="1"/>
    <x v="2"/>
    <x v="0"/>
    <n v="4"/>
    <n v="17600"/>
    <d v="2022-10-17T00:00:00"/>
    <d v="2023-10-24T00:00:00"/>
    <n v="88"/>
    <n v="221"/>
    <x v="0"/>
    <n v="372"/>
  </r>
  <r>
    <n v="804"/>
    <x v="803"/>
    <n v="22"/>
    <x v="1"/>
    <x v="1"/>
    <x v="2"/>
    <x v="0"/>
    <n v="5"/>
    <n v="25000"/>
    <d v="2022-09-26T00:00:00"/>
    <d v="2023-01-24T00:00:00"/>
    <n v="245"/>
    <n v="494"/>
    <x v="0"/>
    <n v="120"/>
  </r>
  <r>
    <n v="805"/>
    <x v="804"/>
    <n v="64"/>
    <x v="5"/>
    <x v="1"/>
    <x v="0"/>
    <x v="1"/>
    <n v="8"/>
    <n v="11200"/>
    <d v="2022-01-11T00:00:00"/>
    <d v="2022-09-08T00:00:00"/>
    <n v="4784"/>
    <n v="632"/>
    <x v="0"/>
    <n v="240"/>
  </r>
  <r>
    <n v="806"/>
    <x v="805"/>
    <n v="48"/>
    <x v="2"/>
    <x v="3"/>
    <x v="3"/>
    <x v="2"/>
    <n v="10"/>
    <n v="134000"/>
    <d v="2022-03-16T00:00:00"/>
    <d v="2022-05-03T00:00:00"/>
    <n v="650"/>
    <n v="760"/>
    <x v="0"/>
    <n v="48"/>
  </r>
  <r>
    <n v="807"/>
    <x v="806"/>
    <n v="51"/>
    <x v="7"/>
    <x v="0"/>
    <x v="0"/>
    <x v="0"/>
    <n v="6"/>
    <n v="10200"/>
    <d v="2022-02-16T00:00:00"/>
    <d v="2022-02-18T00:00:00"/>
    <n v="3636"/>
    <n v="834"/>
    <x v="0"/>
    <n v="2"/>
  </r>
  <r>
    <n v="808"/>
    <x v="807"/>
    <n v="29"/>
    <x v="1"/>
    <x v="2"/>
    <x v="2"/>
    <x v="0"/>
    <n v="9"/>
    <n v="29700"/>
    <d v="2023-08-18T00:00:00"/>
    <d v="2023-11-17T00:00:00"/>
    <n v="234"/>
    <n v="197"/>
    <x v="0"/>
    <n v="91"/>
  </r>
  <r>
    <n v="809"/>
    <x v="808"/>
    <n v="29"/>
    <x v="6"/>
    <x v="3"/>
    <x v="0"/>
    <x v="2"/>
    <n v="2"/>
    <n v="30800"/>
    <d v="2023-06-28T00:00:00"/>
    <d v="2024-02-04T00:00:00"/>
    <n v="1198"/>
    <n v="118"/>
    <x v="1"/>
    <n v="221"/>
  </r>
  <r>
    <n v="810"/>
    <x v="809"/>
    <n v="29"/>
    <x v="3"/>
    <x v="0"/>
    <x v="0"/>
    <x v="0"/>
    <n v="8"/>
    <n v="8800"/>
    <d v="2023-01-05T00:00:00"/>
    <d v="2024-04-23T00:00:00"/>
    <n v="4936"/>
    <n v="39"/>
    <x v="1"/>
    <n v="474"/>
  </r>
  <r>
    <n v="811"/>
    <x v="810"/>
    <n v="41"/>
    <x v="3"/>
    <x v="2"/>
    <x v="0"/>
    <x v="1"/>
    <n v="7"/>
    <n v="30800"/>
    <d v="2022-11-20T00:00:00"/>
    <d v="2023-12-02T00:00:00"/>
    <n v="4347"/>
    <n v="182"/>
    <x v="0"/>
    <n v="377"/>
  </r>
  <r>
    <n v="812"/>
    <x v="811"/>
    <n v="30"/>
    <x v="6"/>
    <x v="3"/>
    <x v="1"/>
    <x v="0"/>
    <n v="1"/>
    <n v="12500"/>
    <d v="2022-07-07T00:00:00"/>
    <d v="2022-07-25T00:00:00"/>
    <n v="140"/>
    <n v="677"/>
    <x v="0"/>
    <n v="18"/>
  </r>
  <r>
    <n v="813"/>
    <x v="812"/>
    <n v="28"/>
    <x v="3"/>
    <x v="1"/>
    <x v="2"/>
    <x v="2"/>
    <n v="8"/>
    <n v="9600"/>
    <d v="2023-03-29T00:00:00"/>
    <d v="2023-09-27T00:00:00"/>
    <n v="360"/>
    <n v="248"/>
    <x v="0"/>
    <n v="182"/>
  </r>
  <r>
    <n v="814"/>
    <x v="813"/>
    <n v="30"/>
    <x v="5"/>
    <x v="3"/>
    <x v="2"/>
    <x v="0"/>
    <n v="2"/>
    <n v="33000"/>
    <d v="2022-04-06T00:00:00"/>
    <d v="2022-07-19T00:00:00"/>
    <n v="56"/>
    <n v="683"/>
    <x v="0"/>
    <n v="104"/>
  </r>
  <r>
    <n v="815"/>
    <x v="814"/>
    <n v="63"/>
    <x v="6"/>
    <x v="1"/>
    <x v="0"/>
    <x v="1"/>
    <n v="10"/>
    <n v="19000"/>
    <d v="2023-08-21T00:00:00"/>
    <d v="2024-12-30T00:00:00"/>
    <n v="5900"/>
    <n v="-212"/>
    <x v="1"/>
    <n v="497"/>
  </r>
  <r>
    <n v="816"/>
    <x v="815"/>
    <n v="52"/>
    <x v="6"/>
    <x v="3"/>
    <x v="1"/>
    <x v="0"/>
    <n v="2"/>
    <n v="31600"/>
    <d v="2022-01-27T00:00:00"/>
    <d v="2022-06-21T00:00:00"/>
    <n v="234"/>
    <n v="711"/>
    <x v="0"/>
    <n v="145"/>
  </r>
  <r>
    <n v="817"/>
    <x v="816"/>
    <n v="30"/>
    <x v="1"/>
    <x v="2"/>
    <x v="1"/>
    <x v="0"/>
    <n v="1"/>
    <n v="3700"/>
    <d v="2023-04-17T00:00:00"/>
    <d v="2024-06-15T00:00:00"/>
    <n v="140"/>
    <n v="-14"/>
    <x v="1"/>
    <n v="425"/>
  </r>
  <r>
    <n v="818"/>
    <x v="817"/>
    <n v="23"/>
    <x v="5"/>
    <x v="2"/>
    <x v="1"/>
    <x v="0"/>
    <n v="10"/>
    <n v="67000"/>
    <d v="2022-11-29T00:00:00"/>
    <d v="2024-03-28T00:00:00"/>
    <n v="1460"/>
    <n v="65"/>
    <x v="1"/>
    <n v="485"/>
  </r>
  <r>
    <n v="819"/>
    <x v="818"/>
    <n v="41"/>
    <x v="6"/>
    <x v="1"/>
    <x v="1"/>
    <x v="0"/>
    <n v="1"/>
    <n v="4000"/>
    <d v="2022-03-14T00:00:00"/>
    <d v="2022-12-19T00:00:00"/>
    <n v="148"/>
    <n v="530"/>
    <x v="0"/>
    <n v="280"/>
  </r>
  <r>
    <n v="820"/>
    <x v="819"/>
    <n v="32"/>
    <x v="1"/>
    <x v="0"/>
    <x v="2"/>
    <x v="0"/>
    <n v="4"/>
    <n v="5200"/>
    <d v="2022-04-02T00:00:00"/>
    <d v="2022-04-12T00:00:00"/>
    <n v="92"/>
    <n v="781"/>
    <x v="0"/>
    <n v="10"/>
  </r>
  <r>
    <n v="821"/>
    <x v="820"/>
    <n v="62"/>
    <x v="6"/>
    <x v="3"/>
    <x v="2"/>
    <x v="0"/>
    <n v="3"/>
    <n v="27000"/>
    <d v="2022-11-02T00:00:00"/>
    <d v="2023-07-11T00:00:00"/>
    <n v="111"/>
    <n v="326"/>
    <x v="0"/>
    <n v="251"/>
  </r>
  <r>
    <n v="822"/>
    <x v="821"/>
    <n v="44"/>
    <x v="3"/>
    <x v="1"/>
    <x v="0"/>
    <x v="0"/>
    <n v="9"/>
    <n v="16200"/>
    <d v="2023-05-17T00:00:00"/>
    <d v="2023-12-31T00:00:00"/>
    <n v="5526"/>
    <n v="153"/>
    <x v="1"/>
    <n v="228"/>
  </r>
  <r>
    <n v="823"/>
    <x v="822"/>
    <n v="48"/>
    <x v="5"/>
    <x v="2"/>
    <x v="2"/>
    <x v="0"/>
    <n v="6"/>
    <n v="48000"/>
    <d v="2022-07-10T00:00:00"/>
    <d v="2023-02-17T00:00:00"/>
    <n v="300"/>
    <n v="470"/>
    <x v="0"/>
    <n v="222"/>
  </r>
  <r>
    <n v="824"/>
    <x v="823"/>
    <n v="42"/>
    <x v="1"/>
    <x v="0"/>
    <x v="1"/>
    <x v="1"/>
    <n v="8"/>
    <n v="15200"/>
    <d v="2022-08-18T00:00:00"/>
    <d v="2023-07-15T00:00:00"/>
    <n v="952"/>
    <n v="322"/>
    <x v="0"/>
    <n v="331"/>
  </r>
  <r>
    <n v="825"/>
    <x v="824"/>
    <n v="48"/>
    <x v="5"/>
    <x v="0"/>
    <x v="0"/>
    <x v="2"/>
    <n v="2"/>
    <n v="3000"/>
    <d v="2022-11-04T00:00:00"/>
    <d v="2023-01-19T00:00:00"/>
    <n v="1196"/>
    <n v="499"/>
    <x v="0"/>
    <n v="76"/>
  </r>
  <r>
    <n v="826"/>
    <x v="825"/>
    <n v="57"/>
    <x v="3"/>
    <x v="1"/>
    <x v="2"/>
    <x v="0"/>
    <n v="1"/>
    <n v="3300"/>
    <d v="2022-03-20T00:00:00"/>
    <d v="2023-07-02T00:00:00"/>
    <n v="12"/>
    <n v="335"/>
    <x v="0"/>
    <n v="469"/>
  </r>
  <r>
    <n v="827"/>
    <x v="826"/>
    <n v="50"/>
    <x v="0"/>
    <x v="3"/>
    <x v="2"/>
    <x v="0"/>
    <n v="10"/>
    <n v="133000"/>
    <d v="2022-12-30T00:00:00"/>
    <d v="2023-05-09T00:00:00"/>
    <n v="470"/>
    <n v="389"/>
    <x v="0"/>
    <n v="130"/>
  </r>
  <r>
    <n v="828"/>
    <x v="827"/>
    <n v="32"/>
    <x v="0"/>
    <x v="0"/>
    <x v="1"/>
    <x v="2"/>
    <n v="3"/>
    <n v="3900"/>
    <d v="2022-02-16T00:00:00"/>
    <d v="2022-03-30T00:00:00"/>
    <n v="408"/>
    <n v="794"/>
    <x v="0"/>
    <n v="42"/>
  </r>
  <r>
    <n v="829"/>
    <x v="828"/>
    <n v="60"/>
    <x v="3"/>
    <x v="2"/>
    <x v="2"/>
    <x v="2"/>
    <n v="5"/>
    <n v="29000"/>
    <d v="2022-07-11T00:00:00"/>
    <d v="2022-10-27T00:00:00"/>
    <n v="105"/>
    <n v="583"/>
    <x v="0"/>
    <n v="108"/>
  </r>
  <r>
    <n v="830"/>
    <x v="829"/>
    <n v="55"/>
    <x v="0"/>
    <x v="2"/>
    <x v="1"/>
    <x v="2"/>
    <n v="1"/>
    <n v="3000"/>
    <d v="2023-02-09T00:00:00"/>
    <d v="2023-04-09T00:00:00"/>
    <n v="110"/>
    <n v="419"/>
    <x v="0"/>
    <n v="59"/>
  </r>
  <r>
    <n v="831"/>
    <x v="830"/>
    <n v="63"/>
    <x v="6"/>
    <x v="3"/>
    <x v="2"/>
    <x v="2"/>
    <n v="10"/>
    <n v="209000"/>
    <d v="2022-11-07T00:00:00"/>
    <d v="2023-09-19T00:00:00"/>
    <n v="490"/>
    <n v="256"/>
    <x v="0"/>
    <n v="316"/>
  </r>
  <r>
    <n v="832"/>
    <x v="831"/>
    <n v="29"/>
    <x v="2"/>
    <x v="3"/>
    <x v="0"/>
    <x v="0"/>
    <n v="3"/>
    <n v="16500"/>
    <d v="2022-07-15T00:00:00"/>
    <d v="2022-09-10T00:00:00"/>
    <n v="1773"/>
    <n v="630"/>
    <x v="0"/>
    <n v="57"/>
  </r>
  <r>
    <n v="833"/>
    <x v="832"/>
    <n v="62"/>
    <x v="4"/>
    <x v="0"/>
    <x v="3"/>
    <x v="2"/>
    <n v="3"/>
    <n v="5400"/>
    <d v="2022-09-05T00:00:00"/>
    <d v="2023-04-16T00:00:00"/>
    <n v="210"/>
    <n v="412"/>
    <x v="0"/>
    <n v="223"/>
  </r>
  <r>
    <n v="834"/>
    <x v="833"/>
    <n v="30"/>
    <x v="4"/>
    <x v="0"/>
    <x v="0"/>
    <x v="2"/>
    <n v="8"/>
    <n v="11200"/>
    <d v="2022-01-23T00:00:00"/>
    <d v="2022-03-23T00:00:00"/>
    <n v="4800"/>
    <n v="801"/>
    <x v="0"/>
    <n v="59"/>
  </r>
  <r>
    <n v="835"/>
    <x v="834"/>
    <n v="22"/>
    <x v="6"/>
    <x v="3"/>
    <x v="2"/>
    <x v="2"/>
    <n v="8"/>
    <n v="193600"/>
    <d v="2022-09-06T00:00:00"/>
    <d v="2022-12-18T00:00:00"/>
    <n v="224"/>
    <n v="531"/>
    <x v="0"/>
    <n v="103"/>
  </r>
  <r>
    <n v="836"/>
    <x v="835"/>
    <n v="27"/>
    <x v="1"/>
    <x v="0"/>
    <x v="0"/>
    <x v="0"/>
    <n v="7"/>
    <n v="9800"/>
    <d v="2023-05-23T00:00:00"/>
    <d v="2024-06-03T00:00:00"/>
    <n v="4389"/>
    <n v="-2"/>
    <x v="1"/>
    <n v="377"/>
  </r>
  <r>
    <n v="837"/>
    <x v="836"/>
    <n v="52"/>
    <x v="3"/>
    <x v="0"/>
    <x v="2"/>
    <x v="2"/>
    <n v="9"/>
    <n v="15300"/>
    <d v="2023-05-15T00:00:00"/>
    <d v="2023-09-10T00:00:00"/>
    <n v="117"/>
    <n v="265"/>
    <x v="0"/>
    <n v="118"/>
  </r>
  <r>
    <n v="838"/>
    <x v="837"/>
    <n v="25"/>
    <x v="7"/>
    <x v="3"/>
    <x v="0"/>
    <x v="1"/>
    <n v="5"/>
    <n v="93500"/>
    <d v="2023-04-30T00:00:00"/>
    <d v="2023-06-28T00:00:00"/>
    <n v="3105"/>
    <n v="339"/>
    <x v="0"/>
    <n v="59"/>
  </r>
  <r>
    <n v="839"/>
    <x v="838"/>
    <n v="31"/>
    <x v="2"/>
    <x v="3"/>
    <x v="2"/>
    <x v="0"/>
    <n v="5"/>
    <n v="56500"/>
    <d v="2023-04-26T00:00:00"/>
    <d v="2023-10-19T00:00:00"/>
    <n v="190"/>
    <n v="226"/>
    <x v="0"/>
    <n v="176"/>
  </r>
  <r>
    <n v="840"/>
    <x v="839"/>
    <n v="63"/>
    <x v="4"/>
    <x v="1"/>
    <x v="0"/>
    <x v="1"/>
    <n v="8"/>
    <n v="12000"/>
    <d v="2022-10-28T00:00:00"/>
    <d v="2023-11-02T00:00:00"/>
    <n v="4912"/>
    <n v="212"/>
    <x v="0"/>
    <n v="370"/>
  </r>
  <r>
    <n v="841"/>
    <x v="840"/>
    <n v="60"/>
    <x v="1"/>
    <x v="2"/>
    <x v="2"/>
    <x v="0"/>
    <n v="4"/>
    <n v="21200"/>
    <d v="2022-03-30T00:00:00"/>
    <d v="2023-03-06T00:00:00"/>
    <n v="160"/>
    <n v="453"/>
    <x v="0"/>
    <n v="341"/>
  </r>
  <r>
    <n v="842"/>
    <x v="841"/>
    <n v="59"/>
    <x v="6"/>
    <x v="1"/>
    <x v="3"/>
    <x v="0"/>
    <n v="8"/>
    <n v="11200"/>
    <d v="2023-03-02T00:00:00"/>
    <d v="2024-06-26T00:00:00"/>
    <n v="488"/>
    <n v="-25"/>
    <x v="1"/>
    <n v="482"/>
  </r>
  <r>
    <n v="843"/>
    <x v="842"/>
    <n v="24"/>
    <x v="3"/>
    <x v="1"/>
    <x v="3"/>
    <x v="1"/>
    <n v="1"/>
    <n v="2500"/>
    <d v="2022-09-25T00:00:00"/>
    <d v="2023-03-26T00:00:00"/>
    <n v="40"/>
    <n v="433"/>
    <x v="0"/>
    <n v="182"/>
  </r>
  <r>
    <n v="844"/>
    <x v="843"/>
    <n v="48"/>
    <x v="6"/>
    <x v="0"/>
    <x v="1"/>
    <x v="0"/>
    <n v="2"/>
    <n v="3600"/>
    <d v="2022-08-21T00:00:00"/>
    <d v="2022-10-21T00:00:00"/>
    <n v="290"/>
    <n v="589"/>
    <x v="0"/>
    <n v="61"/>
  </r>
  <r>
    <n v="845"/>
    <x v="844"/>
    <n v="43"/>
    <x v="4"/>
    <x v="3"/>
    <x v="0"/>
    <x v="0"/>
    <n v="1"/>
    <n v="23300"/>
    <d v="2022-10-01T00:00:00"/>
    <d v="2024-01-02T00:00:00"/>
    <n v="599"/>
    <n v="151"/>
    <x v="1"/>
    <n v="458"/>
  </r>
  <r>
    <n v="846"/>
    <x v="845"/>
    <n v="28"/>
    <x v="0"/>
    <x v="0"/>
    <x v="2"/>
    <x v="2"/>
    <n v="2"/>
    <n v="3600"/>
    <d v="2022-04-15T00:00:00"/>
    <d v="2023-06-10T00:00:00"/>
    <n v="90"/>
    <n v="357"/>
    <x v="0"/>
    <n v="421"/>
  </r>
  <r>
    <n v="847"/>
    <x v="846"/>
    <n v="34"/>
    <x v="7"/>
    <x v="0"/>
    <x v="3"/>
    <x v="0"/>
    <n v="6"/>
    <n v="4800"/>
    <d v="2022-10-27T00:00:00"/>
    <d v="2023-10-24T00:00:00"/>
    <n v="348"/>
    <n v="221"/>
    <x v="0"/>
    <n v="362"/>
  </r>
  <r>
    <n v="848"/>
    <x v="847"/>
    <n v="42"/>
    <x v="5"/>
    <x v="0"/>
    <x v="3"/>
    <x v="0"/>
    <n v="3"/>
    <n v="2400"/>
    <d v="2022-07-26T00:00:00"/>
    <d v="2023-03-07T00:00:00"/>
    <n v="168"/>
    <n v="452"/>
    <x v="0"/>
    <n v="224"/>
  </r>
  <r>
    <n v="849"/>
    <x v="848"/>
    <n v="39"/>
    <x v="7"/>
    <x v="1"/>
    <x v="2"/>
    <x v="0"/>
    <n v="9"/>
    <n v="15300"/>
    <d v="2022-03-29T00:00:00"/>
    <d v="2022-08-12T00:00:00"/>
    <n v="297"/>
    <n v="659"/>
    <x v="0"/>
    <n v="136"/>
  </r>
  <r>
    <n v="850"/>
    <x v="849"/>
    <n v="54"/>
    <x v="1"/>
    <x v="2"/>
    <x v="3"/>
    <x v="0"/>
    <n v="7"/>
    <n v="65800"/>
    <d v="2022-08-22T00:00:00"/>
    <d v="2022-10-31T00:00:00"/>
    <n v="399"/>
    <n v="579"/>
    <x v="0"/>
    <n v="70"/>
  </r>
  <r>
    <n v="851"/>
    <x v="850"/>
    <n v="64"/>
    <x v="1"/>
    <x v="3"/>
    <x v="2"/>
    <x v="1"/>
    <n v="6"/>
    <n v="36000"/>
    <d v="2023-03-30T00:00:00"/>
    <d v="2023-06-12T00:00:00"/>
    <n v="60"/>
    <n v="355"/>
    <x v="0"/>
    <n v="74"/>
  </r>
  <r>
    <n v="852"/>
    <x v="851"/>
    <n v="46"/>
    <x v="0"/>
    <x v="0"/>
    <x v="0"/>
    <x v="0"/>
    <n v="3"/>
    <n v="4200"/>
    <d v="2022-03-04T00:00:00"/>
    <d v="2022-09-21T00:00:00"/>
    <n v="1776"/>
    <n v="619"/>
    <x v="0"/>
    <n v="201"/>
  </r>
  <r>
    <n v="853"/>
    <x v="852"/>
    <n v="46"/>
    <x v="6"/>
    <x v="0"/>
    <x v="0"/>
    <x v="2"/>
    <n v="9"/>
    <n v="9900"/>
    <d v="2022-11-18T00:00:00"/>
    <d v="2024-02-26T00:00:00"/>
    <n v="5508"/>
    <n v="96"/>
    <x v="1"/>
    <n v="465"/>
  </r>
  <r>
    <n v="854"/>
    <x v="853"/>
    <n v="49"/>
    <x v="7"/>
    <x v="2"/>
    <x v="3"/>
    <x v="2"/>
    <n v="4"/>
    <n v="30000"/>
    <d v="2023-03-29T00:00:00"/>
    <d v="2024-03-20T00:00:00"/>
    <n v="208"/>
    <n v="73"/>
    <x v="1"/>
    <n v="357"/>
  </r>
  <r>
    <n v="855"/>
    <x v="854"/>
    <n v="23"/>
    <x v="1"/>
    <x v="1"/>
    <x v="0"/>
    <x v="0"/>
    <n v="9"/>
    <n v="21600"/>
    <d v="2023-02-04T00:00:00"/>
    <d v="2024-02-10T00:00:00"/>
    <n v="5382"/>
    <n v="112"/>
    <x v="1"/>
    <n v="371"/>
  </r>
  <r>
    <n v="856"/>
    <x v="855"/>
    <n v="56"/>
    <x v="3"/>
    <x v="1"/>
    <x v="1"/>
    <x v="1"/>
    <n v="5"/>
    <n v="15500"/>
    <d v="2022-12-15T00:00:00"/>
    <d v="2024-01-06T00:00:00"/>
    <n v="750"/>
    <n v="147"/>
    <x v="1"/>
    <n v="387"/>
  </r>
  <r>
    <n v="857"/>
    <x v="856"/>
    <n v="58"/>
    <x v="6"/>
    <x v="0"/>
    <x v="1"/>
    <x v="1"/>
    <n v="5"/>
    <n v="5000"/>
    <d v="2022-11-08T00:00:00"/>
    <d v="2023-11-14T00:00:00"/>
    <n v="685"/>
    <n v="200"/>
    <x v="0"/>
    <n v="371"/>
  </r>
  <r>
    <n v="858"/>
    <x v="857"/>
    <n v="61"/>
    <x v="0"/>
    <x v="0"/>
    <x v="0"/>
    <x v="0"/>
    <n v="9"/>
    <n v="10800"/>
    <d v="2022-05-07T00:00:00"/>
    <d v="2022-05-31T00:00:00"/>
    <n v="5373"/>
    <n v="732"/>
    <x v="0"/>
    <n v="24"/>
  </r>
  <r>
    <n v="859"/>
    <x v="858"/>
    <n v="42"/>
    <x v="5"/>
    <x v="2"/>
    <x v="1"/>
    <x v="2"/>
    <n v="4"/>
    <n v="38400"/>
    <d v="2023-08-19T00:00:00"/>
    <d v="2024-06-03T00:00:00"/>
    <n v="600"/>
    <n v="-2"/>
    <x v="1"/>
    <n v="289"/>
  </r>
  <r>
    <n v="860"/>
    <x v="859"/>
    <n v="63"/>
    <x v="4"/>
    <x v="2"/>
    <x v="0"/>
    <x v="0"/>
    <n v="10"/>
    <n v="85000"/>
    <d v="2022-05-24T00:00:00"/>
    <d v="2023-05-24T00:00:00"/>
    <n v="6140"/>
    <n v="374"/>
    <x v="0"/>
    <n v="365"/>
  </r>
  <r>
    <n v="861"/>
    <x v="860"/>
    <n v="58"/>
    <x v="4"/>
    <x v="0"/>
    <x v="0"/>
    <x v="1"/>
    <n v="4"/>
    <n v="4800"/>
    <d v="2023-04-11T00:00:00"/>
    <d v="2023-05-31T00:00:00"/>
    <n v="2396"/>
    <n v="367"/>
    <x v="0"/>
    <n v="50"/>
  </r>
  <r>
    <n v="862"/>
    <x v="861"/>
    <n v="24"/>
    <x v="1"/>
    <x v="3"/>
    <x v="1"/>
    <x v="0"/>
    <n v="7"/>
    <n v="65100"/>
    <d v="2023-05-03T00:00:00"/>
    <d v="2023-08-20T00:00:00"/>
    <n v="966"/>
    <n v="286"/>
    <x v="0"/>
    <n v="109"/>
  </r>
  <r>
    <n v="863"/>
    <x v="862"/>
    <n v="56"/>
    <x v="0"/>
    <x v="2"/>
    <x v="2"/>
    <x v="1"/>
    <n v="9"/>
    <n v="84600"/>
    <d v="2023-02-09T00:00:00"/>
    <d v="2024-04-30T00:00:00"/>
    <n v="234"/>
    <n v="32"/>
    <x v="1"/>
    <n v="446"/>
  </r>
  <r>
    <n v="864"/>
    <x v="863"/>
    <n v="47"/>
    <x v="5"/>
    <x v="3"/>
    <x v="2"/>
    <x v="2"/>
    <n v="3"/>
    <n v="29100"/>
    <d v="2023-06-02T00:00:00"/>
    <d v="2023-08-06T00:00:00"/>
    <n v="123"/>
    <n v="300"/>
    <x v="0"/>
    <n v="65"/>
  </r>
  <r>
    <n v="865"/>
    <x v="864"/>
    <n v="50"/>
    <x v="5"/>
    <x v="1"/>
    <x v="1"/>
    <x v="0"/>
    <n v="8"/>
    <n v="8800"/>
    <d v="2022-06-10T00:00:00"/>
    <d v="2023-10-06T00:00:00"/>
    <n v="1160"/>
    <n v="239"/>
    <x v="0"/>
    <n v="483"/>
  </r>
  <r>
    <n v="866"/>
    <x v="865"/>
    <n v="28"/>
    <x v="2"/>
    <x v="0"/>
    <x v="2"/>
    <x v="0"/>
    <n v="6"/>
    <n v="10200"/>
    <d v="2022-10-24T00:00:00"/>
    <d v="2022-11-13T00:00:00"/>
    <n v="258"/>
    <n v="566"/>
    <x v="0"/>
    <n v="20"/>
  </r>
  <r>
    <n v="867"/>
    <x v="866"/>
    <n v="44"/>
    <x v="6"/>
    <x v="0"/>
    <x v="0"/>
    <x v="0"/>
    <n v="5"/>
    <n v="5500"/>
    <d v="2023-05-13T00:00:00"/>
    <d v="2023-05-27T00:00:00"/>
    <n v="2995"/>
    <n v="371"/>
    <x v="0"/>
    <n v="14"/>
  </r>
  <r>
    <n v="868"/>
    <x v="867"/>
    <n v="39"/>
    <x v="6"/>
    <x v="3"/>
    <x v="1"/>
    <x v="0"/>
    <n v="4"/>
    <n v="44000"/>
    <d v="2023-05-16T00:00:00"/>
    <d v="2023-05-17T00:00:00"/>
    <n v="468"/>
    <n v="381"/>
    <x v="0"/>
    <n v="1"/>
  </r>
  <r>
    <n v="869"/>
    <x v="868"/>
    <n v="51"/>
    <x v="2"/>
    <x v="0"/>
    <x v="1"/>
    <x v="2"/>
    <n v="10"/>
    <n v="11000"/>
    <d v="2023-08-03T00:00:00"/>
    <d v="2024-03-21T00:00:00"/>
    <n v="1310"/>
    <n v="72"/>
    <x v="1"/>
    <n v="231"/>
  </r>
  <r>
    <n v="870"/>
    <x v="869"/>
    <n v="53"/>
    <x v="1"/>
    <x v="3"/>
    <x v="3"/>
    <x v="0"/>
    <n v="8"/>
    <n v="157600"/>
    <d v="2023-04-05T00:00:00"/>
    <d v="2023-06-20T00:00:00"/>
    <n v="400"/>
    <n v="347"/>
    <x v="0"/>
    <n v="76"/>
  </r>
  <r>
    <n v="871"/>
    <x v="870"/>
    <n v="46"/>
    <x v="0"/>
    <x v="3"/>
    <x v="2"/>
    <x v="0"/>
    <n v="6"/>
    <n v="136200"/>
    <d v="2022-02-16T00:00:00"/>
    <d v="2023-06-21T00:00:00"/>
    <n v="228"/>
    <n v="346"/>
    <x v="0"/>
    <n v="490"/>
  </r>
  <r>
    <n v="872"/>
    <x v="871"/>
    <n v="57"/>
    <x v="3"/>
    <x v="0"/>
    <x v="3"/>
    <x v="0"/>
    <n v="5"/>
    <n v="8000"/>
    <d v="2022-05-07T00:00:00"/>
    <d v="2023-04-01T00:00:00"/>
    <n v="325"/>
    <n v="427"/>
    <x v="0"/>
    <n v="329"/>
  </r>
  <r>
    <n v="873"/>
    <x v="872"/>
    <n v="54"/>
    <x v="0"/>
    <x v="1"/>
    <x v="1"/>
    <x v="1"/>
    <n v="4"/>
    <n v="16400"/>
    <d v="2023-05-03T00:00:00"/>
    <d v="2024-01-15T00:00:00"/>
    <n v="444"/>
    <n v="138"/>
    <x v="1"/>
    <n v="257"/>
  </r>
  <r>
    <n v="874"/>
    <x v="873"/>
    <n v="34"/>
    <x v="0"/>
    <x v="1"/>
    <x v="1"/>
    <x v="0"/>
    <n v="4"/>
    <n v="17600"/>
    <d v="2023-08-17T00:00:00"/>
    <d v="2024-03-31T00:00:00"/>
    <n v="460"/>
    <n v="62"/>
    <x v="1"/>
    <n v="227"/>
  </r>
  <r>
    <n v="875"/>
    <x v="874"/>
    <n v="22"/>
    <x v="2"/>
    <x v="3"/>
    <x v="1"/>
    <x v="2"/>
    <n v="6"/>
    <n v="115800"/>
    <d v="2022-07-04T00:00:00"/>
    <d v="2023-02-01T00:00:00"/>
    <n v="666"/>
    <n v="486"/>
    <x v="0"/>
    <n v="212"/>
  </r>
  <r>
    <n v="876"/>
    <x v="875"/>
    <n v="28"/>
    <x v="2"/>
    <x v="3"/>
    <x v="0"/>
    <x v="0"/>
    <n v="2"/>
    <n v="45600"/>
    <d v="2022-06-22T00:00:00"/>
    <d v="2022-11-15T00:00:00"/>
    <n v="1198"/>
    <n v="564"/>
    <x v="0"/>
    <n v="146"/>
  </r>
  <r>
    <n v="877"/>
    <x v="876"/>
    <n v="40"/>
    <x v="6"/>
    <x v="2"/>
    <x v="1"/>
    <x v="0"/>
    <n v="7"/>
    <n v="60200"/>
    <d v="2022-06-23T00:00:00"/>
    <d v="2022-07-23T00:00:00"/>
    <n v="1043"/>
    <n v="679"/>
    <x v="0"/>
    <n v="30"/>
  </r>
  <r>
    <n v="878"/>
    <x v="877"/>
    <n v="40"/>
    <x v="2"/>
    <x v="1"/>
    <x v="1"/>
    <x v="0"/>
    <n v="7"/>
    <n v="9800"/>
    <d v="2022-11-24T00:00:00"/>
    <d v="2023-02-04T00:00:00"/>
    <n v="952"/>
    <n v="483"/>
    <x v="0"/>
    <n v="72"/>
  </r>
  <r>
    <n v="879"/>
    <x v="878"/>
    <n v="24"/>
    <x v="2"/>
    <x v="2"/>
    <x v="2"/>
    <x v="0"/>
    <n v="4"/>
    <n v="20000"/>
    <d v="2023-08-24T00:00:00"/>
    <d v="2023-12-23T00:00:00"/>
    <n v="164"/>
    <n v="161"/>
    <x v="1"/>
    <n v="121"/>
  </r>
  <r>
    <n v="880"/>
    <x v="879"/>
    <n v="41"/>
    <x v="1"/>
    <x v="0"/>
    <x v="0"/>
    <x v="0"/>
    <n v="8"/>
    <n v="12800"/>
    <d v="2023-02-21T00:00:00"/>
    <d v="2023-03-26T00:00:00"/>
    <n v="4960"/>
    <n v="433"/>
    <x v="0"/>
    <n v="33"/>
  </r>
  <r>
    <n v="881"/>
    <x v="880"/>
    <n v="38"/>
    <x v="7"/>
    <x v="3"/>
    <x v="3"/>
    <x v="0"/>
    <n v="9"/>
    <n v="217800"/>
    <d v="2022-04-14T00:00:00"/>
    <d v="2022-08-18T00:00:00"/>
    <n v="585"/>
    <n v="653"/>
    <x v="0"/>
    <n v="126"/>
  </r>
  <r>
    <n v="882"/>
    <x v="881"/>
    <n v="26"/>
    <x v="6"/>
    <x v="2"/>
    <x v="2"/>
    <x v="2"/>
    <n v="9"/>
    <n v="42300"/>
    <d v="2022-05-26T00:00:00"/>
    <d v="2022-12-03T00:00:00"/>
    <n v="396"/>
    <n v="546"/>
    <x v="0"/>
    <n v="191"/>
  </r>
  <r>
    <n v="883"/>
    <x v="882"/>
    <n v="49"/>
    <x v="6"/>
    <x v="1"/>
    <x v="2"/>
    <x v="1"/>
    <n v="1"/>
    <n v="1000"/>
    <d v="2023-04-21T00:00:00"/>
    <d v="2024-08-25T00:00:00"/>
    <n v="49"/>
    <n v="-85"/>
    <x v="1"/>
    <n v="492"/>
  </r>
  <r>
    <n v="884"/>
    <x v="883"/>
    <n v="51"/>
    <x v="3"/>
    <x v="1"/>
    <x v="1"/>
    <x v="0"/>
    <n v="5"/>
    <n v="17000"/>
    <d v="2022-09-14T00:00:00"/>
    <d v="2023-11-17T00:00:00"/>
    <n v="670"/>
    <n v="197"/>
    <x v="0"/>
    <n v="429"/>
  </r>
  <r>
    <n v="885"/>
    <x v="884"/>
    <n v="31"/>
    <x v="2"/>
    <x v="1"/>
    <x v="0"/>
    <x v="0"/>
    <n v="9"/>
    <n v="29700"/>
    <d v="2022-03-13T00:00:00"/>
    <d v="2022-08-13T00:00:00"/>
    <n v="5355"/>
    <n v="658"/>
    <x v="0"/>
    <n v="153"/>
  </r>
  <r>
    <n v="886"/>
    <x v="885"/>
    <n v="38"/>
    <x v="1"/>
    <x v="0"/>
    <x v="3"/>
    <x v="1"/>
    <n v="7"/>
    <n v="6300"/>
    <d v="2023-06-01T00:00:00"/>
    <d v="2024-10-03T00:00:00"/>
    <n v="350"/>
    <n v="-124"/>
    <x v="1"/>
    <n v="490"/>
  </r>
  <r>
    <n v="887"/>
    <x v="886"/>
    <n v="36"/>
    <x v="2"/>
    <x v="2"/>
    <x v="2"/>
    <x v="0"/>
    <n v="6"/>
    <n v="34800"/>
    <d v="2022-08-04T00:00:00"/>
    <d v="2023-03-27T00:00:00"/>
    <n v="288"/>
    <n v="432"/>
    <x v="0"/>
    <n v="235"/>
  </r>
  <r>
    <n v="888"/>
    <x v="887"/>
    <n v="59"/>
    <x v="2"/>
    <x v="0"/>
    <x v="3"/>
    <x v="0"/>
    <n v="8"/>
    <n v="4000"/>
    <d v="2022-01-10T00:00:00"/>
    <d v="2022-12-20T00:00:00"/>
    <n v="328"/>
    <n v="529"/>
    <x v="0"/>
    <n v="344"/>
  </r>
  <r>
    <n v="889"/>
    <x v="888"/>
    <n v="26"/>
    <x v="1"/>
    <x v="3"/>
    <x v="2"/>
    <x v="1"/>
    <n v="2"/>
    <n v="45200"/>
    <d v="2022-02-01T00:00:00"/>
    <d v="2023-05-03T00:00:00"/>
    <n v="76"/>
    <n v="395"/>
    <x v="0"/>
    <n v="456"/>
  </r>
  <r>
    <n v="890"/>
    <x v="889"/>
    <n v="43"/>
    <x v="0"/>
    <x v="2"/>
    <x v="2"/>
    <x v="1"/>
    <n v="7"/>
    <n v="31500"/>
    <d v="2022-01-09T00:00:00"/>
    <d v="2022-03-13T00:00:00"/>
    <n v="273"/>
    <n v="811"/>
    <x v="0"/>
    <n v="63"/>
  </r>
  <r>
    <n v="891"/>
    <x v="890"/>
    <n v="35"/>
    <x v="2"/>
    <x v="1"/>
    <x v="2"/>
    <x v="0"/>
    <n v="1"/>
    <n v="4100"/>
    <d v="2022-10-15T00:00:00"/>
    <d v="2023-09-28T00:00:00"/>
    <n v="32"/>
    <n v="247"/>
    <x v="0"/>
    <n v="348"/>
  </r>
  <r>
    <n v="892"/>
    <x v="891"/>
    <n v="35"/>
    <x v="4"/>
    <x v="0"/>
    <x v="0"/>
    <x v="0"/>
    <n v="8"/>
    <n v="9600"/>
    <d v="2022-02-07T00:00:00"/>
    <d v="2022-06-30T00:00:00"/>
    <n v="4968"/>
    <n v="702"/>
    <x v="0"/>
    <n v="143"/>
  </r>
  <r>
    <n v="893"/>
    <x v="892"/>
    <n v="28"/>
    <x v="4"/>
    <x v="0"/>
    <x v="3"/>
    <x v="2"/>
    <n v="5"/>
    <n v="8500"/>
    <d v="2023-05-28T00:00:00"/>
    <d v="2024-02-04T00:00:00"/>
    <n v="200"/>
    <n v="118"/>
    <x v="1"/>
    <n v="252"/>
  </r>
  <r>
    <n v="894"/>
    <x v="893"/>
    <n v="29"/>
    <x v="4"/>
    <x v="1"/>
    <x v="1"/>
    <x v="1"/>
    <n v="2"/>
    <n v="3000"/>
    <d v="2022-09-23T00:00:00"/>
    <d v="2024-01-13T00:00:00"/>
    <n v="292"/>
    <n v="140"/>
    <x v="1"/>
    <n v="477"/>
  </r>
  <r>
    <n v="895"/>
    <x v="894"/>
    <n v="65"/>
    <x v="4"/>
    <x v="2"/>
    <x v="3"/>
    <x v="0"/>
    <n v="9"/>
    <n v="72000"/>
    <d v="2022-09-16T00:00:00"/>
    <d v="2023-08-30T00:00:00"/>
    <n v="585"/>
    <n v="276"/>
    <x v="0"/>
    <n v="348"/>
  </r>
  <r>
    <n v="896"/>
    <x v="895"/>
    <n v="41"/>
    <x v="5"/>
    <x v="0"/>
    <x v="2"/>
    <x v="0"/>
    <n v="7"/>
    <n v="9100"/>
    <d v="2022-10-08T00:00:00"/>
    <d v="2022-12-09T00:00:00"/>
    <n v="301"/>
    <n v="540"/>
    <x v="0"/>
    <n v="62"/>
  </r>
  <r>
    <n v="897"/>
    <x v="896"/>
    <n v="23"/>
    <x v="5"/>
    <x v="3"/>
    <x v="0"/>
    <x v="1"/>
    <n v="4"/>
    <n v="26000"/>
    <d v="2022-10-12T00:00:00"/>
    <d v="2024-01-25T00:00:00"/>
    <n v="2464"/>
    <n v="128"/>
    <x v="1"/>
    <n v="470"/>
  </r>
  <r>
    <n v="898"/>
    <x v="897"/>
    <n v="33"/>
    <x v="5"/>
    <x v="2"/>
    <x v="1"/>
    <x v="2"/>
    <n v="6"/>
    <n v="22200"/>
    <d v="2023-08-09T00:00:00"/>
    <d v="2024-09-25T00:00:00"/>
    <n v="666"/>
    <n v="-116"/>
    <x v="1"/>
    <n v="413"/>
  </r>
  <r>
    <n v="899"/>
    <x v="898"/>
    <n v="33"/>
    <x v="4"/>
    <x v="3"/>
    <x v="1"/>
    <x v="0"/>
    <n v="3"/>
    <n v="47400"/>
    <d v="2022-11-15T00:00:00"/>
    <d v="2022-12-17T00:00:00"/>
    <n v="450"/>
    <n v="532"/>
    <x v="0"/>
    <n v="32"/>
  </r>
  <r>
    <n v="900"/>
    <x v="899"/>
    <n v="22"/>
    <x v="0"/>
    <x v="0"/>
    <x v="2"/>
    <x v="2"/>
    <n v="10"/>
    <n v="18000"/>
    <d v="2022-12-09T00:00:00"/>
    <d v="2024-02-12T00:00:00"/>
    <n v="260"/>
    <n v="110"/>
    <x v="1"/>
    <n v="430"/>
  </r>
  <r>
    <n v="901"/>
    <x v="900"/>
    <n v="42"/>
    <x v="4"/>
    <x v="0"/>
    <x v="2"/>
    <x v="0"/>
    <n v="1"/>
    <n v="1200"/>
    <d v="2023-06-17T00:00:00"/>
    <d v="2024-07-27T00:00:00"/>
    <n v="25"/>
    <n v="-56"/>
    <x v="1"/>
    <n v="406"/>
  </r>
  <r>
    <n v="902"/>
    <x v="901"/>
    <n v="58"/>
    <x v="0"/>
    <x v="3"/>
    <x v="1"/>
    <x v="2"/>
    <n v="2"/>
    <n v="15600"/>
    <d v="2022-03-04T00:00:00"/>
    <d v="2023-06-16T00:00:00"/>
    <n v="224"/>
    <n v="351"/>
    <x v="0"/>
    <n v="469"/>
  </r>
  <r>
    <n v="903"/>
    <x v="902"/>
    <n v="24"/>
    <x v="1"/>
    <x v="2"/>
    <x v="1"/>
    <x v="0"/>
    <n v="8"/>
    <n v="27200"/>
    <d v="2022-11-05T00:00:00"/>
    <d v="2023-09-13T00:00:00"/>
    <n v="1200"/>
    <n v="262"/>
    <x v="0"/>
    <n v="312"/>
  </r>
  <r>
    <n v="904"/>
    <x v="903"/>
    <n v="56"/>
    <x v="1"/>
    <x v="0"/>
    <x v="1"/>
    <x v="0"/>
    <n v="1"/>
    <n v="1100"/>
    <d v="2023-01-26T00:00:00"/>
    <d v="2023-08-19T00:00:00"/>
    <n v="116"/>
    <n v="287"/>
    <x v="0"/>
    <n v="205"/>
  </r>
  <r>
    <n v="905"/>
    <x v="904"/>
    <n v="45"/>
    <x v="1"/>
    <x v="1"/>
    <x v="1"/>
    <x v="2"/>
    <n v="8"/>
    <n v="34400"/>
    <d v="2023-03-15T00:00:00"/>
    <d v="2024-06-07T00:00:00"/>
    <n v="1192"/>
    <n v="-6"/>
    <x v="1"/>
    <n v="450"/>
  </r>
  <r>
    <n v="906"/>
    <x v="905"/>
    <n v="54"/>
    <x v="0"/>
    <x v="2"/>
    <x v="1"/>
    <x v="2"/>
    <n v="6"/>
    <n v="46800"/>
    <d v="2022-07-17T00:00:00"/>
    <d v="2022-09-10T00:00:00"/>
    <n v="696"/>
    <n v="630"/>
    <x v="0"/>
    <n v="55"/>
  </r>
  <r>
    <n v="907"/>
    <x v="906"/>
    <n v="29"/>
    <x v="7"/>
    <x v="0"/>
    <x v="3"/>
    <x v="1"/>
    <n v="9"/>
    <n v="9000"/>
    <d v="2022-12-30T00:00:00"/>
    <d v="2023-08-02T00:00:00"/>
    <n v="540"/>
    <n v="304"/>
    <x v="0"/>
    <n v="215"/>
  </r>
  <r>
    <n v="908"/>
    <x v="907"/>
    <n v="23"/>
    <x v="5"/>
    <x v="1"/>
    <x v="3"/>
    <x v="0"/>
    <n v="1"/>
    <n v="1500"/>
    <d v="2022-11-16T00:00:00"/>
    <d v="2023-09-11T00:00:00"/>
    <n v="57"/>
    <n v="264"/>
    <x v="0"/>
    <n v="299"/>
  </r>
  <r>
    <n v="909"/>
    <x v="908"/>
    <n v="51"/>
    <x v="2"/>
    <x v="2"/>
    <x v="3"/>
    <x v="0"/>
    <n v="5"/>
    <n v="39500"/>
    <d v="2022-12-18T00:00:00"/>
    <d v="2023-05-16T00:00:00"/>
    <n v="265"/>
    <n v="382"/>
    <x v="0"/>
    <n v="149"/>
  </r>
  <r>
    <n v="910"/>
    <x v="909"/>
    <n v="53"/>
    <x v="7"/>
    <x v="1"/>
    <x v="1"/>
    <x v="0"/>
    <n v="9"/>
    <n v="40500"/>
    <d v="2022-02-25T00:00:00"/>
    <d v="2022-09-29T00:00:00"/>
    <n v="1188"/>
    <n v="611"/>
    <x v="0"/>
    <n v="216"/>
  </r>
  <r>
    <n v="911"/>
    <x v="910"/>
    <n v="42"/>
    <x v="4"/>
    <x v="1"/>
    <x v="3"/>
    <x v="0"/>
    <n v="4"/>
    <n v="14800"/>
    <d v="2023-05-03T00:00:00"/>
    <d v="2024-04-22T00:00:00"/>
    <n v="236"/>
    <n v="40"/>
    <x v="1"/>
    <n v="355"/>
  </r>
  <r>
    <n v="912"/>
    <x v="911"/>
    <n v="42"/>
    <x v="2"/>
    <x v="2"/>
    <x v="0"/>
    <x v="2"/>
    <n v="3"/>
    <n v="11700"/>
    <d v="2023-04-11T00:00:00"/>
    <d v="2024-07-02T00:00:00"/>
    <n v="1776"/>
    <n v="-31"/>
    <x v="1"/>
    <n v="448"/>
  </r>
  <r>
    <n v="913"/>
    <x v="912"/>
    <n v="65"/>
    <x v="5"/>
    <x v="1"/>
    <x v="1"/>
    <x v="0"/>
    <n v="4"/>
    <n v="11600"/>
    <d v="2022-08-07T00:00:00"/>
    <d v="2022-12-07T00:00:00"/>
    <n v="560"/>
    <n v="542"/>
    <x v="0"/>
    <n v="122"/>
  </r>
  <r>
    <n v="914"/>
    <x v="913"/>
    <n v="32"/>
    <x v="2"/>
    <x v="3"/>
    <x v="3"/>
    <x v="2"/>
    <n v="1"/>
    <n v="16900"/>
    <d v="2022-01-11T00:00:00"/>
    <d v="2022-02-17T00:00:00"/>
    <n v="52"/>
    <n v="835"/>
    <x v="0"/>
    <n v="37"/>
  </r>
  <r>
    <n v="915"/>
    <x v="914"/>
    <n v="49"/>
    <x v="7"/>
    <x v="0"/>
    <x v="3"/>
    <x v="0"/>
    <n v="4"/>
    <n v="7200"/>
    <d v="2023-08-23T00:00:00"/>
    <d v="2024-12-02T00:00:00"/>
    <n v="212"/>
    <n v="-184"/>
    <x v="1"/>
    <n v="467"/>
  </r>
  <r>
    <n v="916"/>
    <x v="915"/>
    <n v="39"/>
    <x v="7"/>
    <x v="0"/>
    <x v="3"/>
    <x v="0"/>
    <n v="3"/>
    <n v="2700"/>
    <d v="2022-09-26T00:00:00"/>
    <d v="2023-09-29T00:00:00"/>
    <n v="123"/>
    <n v="246"/>
    <x v="0"/>
    <n v="368"/>
  </r>
  <r>
    <n v="917"/>
    <x v="916"/>
    <n v="22"/>
    <x v="2"/>
    <x v="1"/>
    <x v="3"/>
    <x v="0"/>
    <n v="3"/>
    <n v="13500"/>
    <d v="2022-09-26T00:00:00"/>
    <d v="2024-01-05T00:00:00"/>
    <n v="108"/>
    <n v="148"/>
    <x v="1"/>
    <n v="466"/>
  </r>
  <r>
    <n v="918"/>
    <x v="917"/>
    <n v="42"/>
    <x v="7"/>
    <x v="1"/>
    <x v="2"/>
    <x v="0"/>
    <n v="4"/>
    <n v="8800"/>
    <d v="2023-04-13T00:00:00"/>
    <d v="2023-08-13T00:00:00"/>
    <n v="132"/>
    <n v="293"/>
    <x v="0"/>
    <n v="122"/>
  </r>
  <r>
    <n v="919"/>
    <x v="918"/>
    <n v="28"/>
    <x v="2"/>
    <x v="1"/>
    <x v="2"/>
    <x v="0"/>
    <n v="3"/>
    <n v="13800"/>
    <d v="2022-05-14T00:00:00"/>
    <d v="2023-06-24T00:00:00"/>
    <n v="66"/>
    <n v="343"/>
    <x v="0"/>
    <n v="406"/>
  </r>
  <r>
    <n v="920"/>
    <x v="919"/>
    <n v="59"/>
    <x v="4"/>
    <x v="3"/>
    <x v="0"/>
    <x v="0"/>
    <n v="7"/>
    <n v="91000"/>
    <d v="2022-02-17T00:00:00"/>
    <d v="2023-03-14T00:00:00"/>
    <n v="4403"/>
    <n v="445"/>
    <x v="0"/>
    <n v="390"/>
  </r>
  <r>
    <n v="921"/>
    <x v="920"/>
    <n v="36"/>
    <x v="4"/>
    <x v="2"/>
    <x v="3"/>
    <x v="0"/>
    <n v="1"/>
    <n v="8200"/>
    <d v="2022-10-14T00:00:00"/>
    <d v="2024-01-03T00:00:00"/>
    <n v="38"/>
    <n v="150"/>
    <x v="1"/>
    <n v="446"/>
  </r>
  <r>
    <n v="922"/>
    <x v="921"/>
    <n v="63"/>
    <x v="5"/>
    <x v="1"/>
    <x v="1"/>
    <x v="2"/>
    <n v="10"/>
    <n v="13000"/>
    <d v="2022-06-21T00:00:00"/>
    <d v="2023-03-08T00:00:00"/>
    <n v="1340"/>
    <n v="451"/>
    <x v="0"/>
    <n v="260"/>
  </r>
  <r>
    <n v="923"/>
    <x v="922"/>
    <n v="41"/>
    <x v="2"/>
    <x v="3"/>
    <x v="2"/>
    <x v="0"/>
    <n v="6"/>
    <n v="133200"/>
    <d v="2023-05-10T00:00:00"/>
    <d v="2024-05-10T00:00:00"/>
    <n v="246"/>
    <n v="22"/>
    <x v="1"/>
    <n v="366"/>
  </r>
  <r>
    <n v="924"/>
    <x v="923"/>
    <n v="62"/>
    <x v="5"/>
    <x v="2"/>
    <x v="2"/>
    <x v="1"/>
    <n v="1"/>
    <n v="4700"/>
    <d v="2022-08-13T00:00:00"/>
    <d v="2023-11-14T00:00:00"/>
    <n v="22"/>
    <n v="200"/>
    <x v="0"/>
    <n v="458"/>
  </r>
  <r>
    <n v="925"/>
    <x v="924"/>
    <n v="40"/>
    <x v="5"/>
    <x v="1"/>
    <x v="2"/>
    <x v="0"/>
    <n v="7"/>
    <n v="32200"/>
    <d v="2023-01-22T00:00:00"/>
    <d v="2023-11-10T00:00:00"/>
    <n v="140"/>
    <n v="204"/>
    <x v="0"/>
    <n v="292"/>
  </r>
  <r>
    <n v="926"/>
    <x v="925"/>
    <n v="26"/>
    <x v="2"/>
    <x v="2"/>
    <x v="1"/>
    <x v="0"/>
    <n v="5"/>
    <n v="33000"/>
    <d v="2023-06-16T00:00:00"/>
    <d v="2023-12-13T00:00:00"/>
    <n v="620"/>
    <n v="171"/>
    <x v="1"/>
    <n v="180"/>
  </r>
  <r>
    <n v="927"/>
    <x v="926"/>
    <n v="49"/>
    <x v="7"/>
    <x v="3"/>
    <x v="0"/>
    <x v="2"/>
    <n v="8"/>
    <n v="153600"/>
    <d v="2023-02-23T00:00:00"/>
    <d v="2023-08-30T00:00:00"/>
    <n v="4968"/>
    <n v="276"/>
    <x v="0"/>
    <n v="188"/>
  </r>
  <r>
    <n v="928"/>
    <x v="927"/>
    <n v="32"/>
    <x v="2"/>
    <x v="2"/>
    <x v="2"/>
    <x v="0"/>
    <n v="8"/>
    <n v="39200"/>
    <d v="2022-09-29T00:00:00"/>
    <d v="2023-08-25T00:00:00"/>
    <n v="112"/>
    <n v="281"/>
    <x v="0"/>
    <n v="330"/>
  </r>
  <r>
    <n v="929"/>
    <x v="928"/>
    <n v="53"/>
    <x v="2"/>
    <x v="0"/>
    <x v="0"/>
    <x v="1"/>
    <n v="9"/>
    <n v="16200"/>
    <d v="2022-03-22T00:00:00"/>
    <d v="2023-04-28T00:00:00"/>
    <n v="5463"/>
    <n v="400"/>
    <x v="0"/>
    <n v="402"/>
  </r>
  <r>
    <n v="930"/>
    <x v="929"/>
    <n v="44"/>
    <x v="4"/>
    <x v="0"/>
    <x v="1"/>
    <x v="0"/>
    <n v="1"/>
    <n v="1600"/>
    <d v="2022-07-25T00:00:00"/>
    <d v="2023-01-11T00:00:00"/>
    <n v="122"/>
    <n v="507"/>
    <x v="0"/>
    <n v="170"/>
  </r>
  <r>
    <n v="931"/>
    <x v="930"/>
    <n v="33"/>
    <x v="2"/>
    <x v="2"/>
    <x v="0"/>
    <x v="0"/>
    <n v="10"/>
    <n v="41000"/>
    <d v="2023-07-11T00:00:00"/>
    <d v="2024-10-20T00:00:00"/>
    <n v="6060"/>
    <n v="-141"/>
    <x v="1"/>
    <n v="467"/>
  </r>
  <r>
    <n v="932"/>
    <x v="931"/>
    <n v="46"/>
    <x v="7"/>
    <x v="2"/>
    <x v="0"/>
    <x v="0"/>
    <n v="7"/>
    <n v="67900"/>
    <d v="2023-08-17T00:00:00"/>
    <d v="2024-09-07T00:00:00"/>
    <n v="4130"/>
    <n v="-98"/>
    <x v="1"/>
    <n v="387"/>
  </r>
  <r>
    <n v="933"/>
    <x v="932"/>
    <n v="35"/>
    <x v="5"/>
    <x v="1"/>
    <x v="2"/>
    <x v="0"/>
    <n v="4"/>
    <n v="11600"/>
    <d v="2022-08-28T00:00:00"/>
    <d v="2023-05-19T00:00:00"/>
    <n v="188"/>
    <n v="379"/>
    <x v="0"/>
    <n v="264"/>
  </r>
  <r>
    <n v="934"/>
    <x v="933"/>
    <n v="41"/>
    <x v="5"/>
    <x v="3"/>
    <x v="0"/>
    <x v="0"/>
    <n v="4"/>
    <n v="76000"/>
    <d v="2023-03-04T00:00:00"/>
    <d v="2023-06-19T00:00:00"/>
    <n v="2472"/>
    <n v="348"/>
    <x v="0"/>
    <n v="107"/>
  </r>
  <r>
    <n v="935"/>
    <x v="934"/>
    <n v="57"/>
    <x v="5"/>
    <x v="0"/>
    <x v="0"/>
    <x v="0"/>
    <n v="3"/>
    <n v="3300"/>
    <d v="2022-01-10T00:00:00"/>
    <d v="2022-09-22T00:00:00"/>
    <n v="1836"/>
    <n v="618"/>
    <x v="0"/>
    <n v="255"/>
  </r>
  <r>
    <n v="936"/>
    <x v="935"/>
    <n v="64"/>
    <x v="2"/>
    <x v="1"/>
    <x v="2"/>
    <x v="2"/>
    <n v="7"/>
    <n v="28700"/>
    <d v="2023-07-05T00:00:00"/>
    <d v="2023-12-05T00:00:00"/>
    <n v="210"/>
    <n v="179"/>
    <x v="1"/>
    <n v="153"/>
  </r>
  <r>
    <n v="937"/>
    <x v="936"/>
    <n v="42"/>
    <x v="7"/>
    <x v="0"/>
    <x v="3"/>
    <x v="0"/>
    <n v="10"/>
    <n v="18000"/>
    <d v="2023-08-11T00:00:00"/>
    <d v="2024-10-27T00:00:00"/>
    <n v="550"/>
    <n v="-148"/>
    <x v="1"/>
    <n v="443"/>
  </r>
  <r>
    <n v="938"/>
    <x v="937"/>
    <n v="55"/>
    <x v="1"/>
    <x v="1"/>
    <x v="2"/>
    <x v="0"/>
    <n v="7"/>
    <n v="12600"/>
    <d v="2023-05-02T00:00:00"/>
    <d v="2023-06-26T00:00:00"/>
    <n v="217"/>
    <n v="341"/>
    <x v="0"/>
    <n v="55"/>
  </r>
  <r>
    <n v="939"/>
    <x v="938"/>
    <n v="27"/>
    <x v="5"/>
    <x v="2"/>
    <x v="1"/>
    <x v="0"/>
    <n v="9"/>
    <n v="40500"/>
    <d v="2022-02-02T00:00:00"/>
    <d v="2023-04-01T00:00:00"/>
    <n v="1332"/>
    <n v="427"/>
    <x v="0"/>
    <n v="423"/>
  </r>
  <r>
    <n v="940"/>
    <x v="939"/>
    <n v="25"/>
    <x v="5"/>
    <x v="0"/>
    <x v="3"/>
    <x v="0"/>
    <n v="7"/>
    <n v="7700"/>
    <d v="2022-07-30T00:00:00"/>
    <d v="2022-11-26T00:00:00"/>
    <n v="336"/>
    <n v="553"/>
    <x v="0"/>
    <n v="119"/>
  </r>
  <r>
    <n v="941"/>
    <x v="940"/>
    <n v="54"/>
    <x v="0"/>
    <x v="3"/>
    <x v="1"/>
    <x v="0"/>
    <n v="1"/>
    <n v="10600"/>
    <d v="2022-12-01T00:00:00"/>
    <d v="2024-02-14T00:00:00"/>
    <n v="136"/>
    <n v="108"/>
    <x v="1"/>
    <n v="440"/>
  </r>
  <r>
    <n v="942"/>
    <x v="941"/>
    <n v="55"/>
    <x v="1"/>
    <x v="1"/>
    <x v="1"/>
    <x v="0"/>
    <n v="7"/>
    <n v="21000"/>
    <d v="2022-03-12T00:00:00"/>
    <d v="2022-09-27T00:00:00"/>
    <n v="861"/>
    <n v="613"/>
    <x v="0"/>
    <n v="199"/>
  </r>
  <r>
    <n v="943"/>
    <x v="942"/>
    <n v="63"/>
    <x v="6"/>
    <x v="1"/>
    <x v="0"/>
    <x v="2"/>
    <n v="8"/>
    <n v="12800"/>
    <d v="2023-08-12T00:00:00"/>
    <d v="2024-12-04T00:00:00"/>
    <n v="4872"/>
    <n v="-186"/>
    <x v="1"/>
    <n v="480"/>
  </r>
  <r>
    <n v="944"/>
    <x v="943"/>
    <n v="21"/>
    <x v="4"/>
    <x v="3"/>
    <x v="0"/>
    <x v="0"/>
    <n v="3"/>
    <n v="58800"/>
    <d v="2022-03-07T00:00:00"/>
    <d v="2023-05-03T00:00:00"/>
    <n v="1845"/>
    <n v="395"/>
    <x v="0"/>
    <n v="422"/>
  </r>
  <r>
    <n v="945"/>
    <x v="944"/>
    <n v="50"/>
    <x v="4"/>
    <x v="2"/>
    <x v="2"/>
    <x v="2"/>
    <n v="10"/>
    <n v="33000"/>
    <d v="2022-04-04T00:00:00"/>
    <d v="2022-08-29T00:00:00"/>
    <n v="390"/>
    <n v="642"/>
    <x v="0"/>
    <n v="147"/>
  </r>
  <r>
    <n v="946"/>
    <x v="945"/>
    <n v="32"/>
    <x v="2"/>
    <x v="2"/>
    <x v="2"/>
    <x v="1"/>
    <n v="7"/>
    <n v="35000"/>
    <d v="2022-07-03T00:00:00"/>
    <d v="2023-10-06T00:00:00"/>
    <n v="343"/>
    <n v="239"/>
    <x v="0"/>
    <n v="460"/>
  </r>
  <r>
    <n v="947"/>
    <x v="946"/>
    <n v="65"/>
    <x v="1"/>
    <x v="3"/>
    <x v="2"/>
    <x v="0"/>
    <n v="10"/>
    <n v="81000"/>
    <d v="2023-02-07T00:00:00"/>
    <d v="2024-01-30T00:00:00"/>
    <n v="120"/>
    <n v="123"/>
    <x v="1"/>
    <n v="357"/>
  </r>
  <r>
    <n v="948"/>
    <x v="947"/>
    <n v="39"/>
    <x v="4"/>
    <x v="1"/>
    <x v="0"/>
    <x v="1"/>
    <n v="2"/>
    <n v="7800"/>
    <d v="2022-08-11T00:00:00"/>
    <d v="2023-11-19T00:00:00"/>
    <n v="1242"/>
    <n v="195"/>
    <x v="0"/>
    <n v="465"/>
  </r>
  <r>
    <n v="949"/>
    <x v="948"/>
    <n v="27"/>
    <x v="1"/>
    <x v="0"/>
    <x v="0"/>
    <x v="0"/>
    <n v="9"/>
    <n v="10800"/>
    <d v="2023-02-24T00:00:00"/>
    <d v="2023-10-12T00:00:00"/>
    <n v="5400"/>
    <n v="233"/>
    <x v="0"/>
    <n v="230"/>
  </r>
  <r>
    <n v="950"/>
    <x v="949"/>
    <n v="22"/>
    <x v="3"/>
    <x v="1"/>
    <x v="1"/>
    <x v="2"/>
    <n v="2"/>
    <n v="7200"/>
    <d v="2023-04-18T00:00:00"/>
    <d v="2023-10-30T00:00:00"/>
    <n v="262"/>
    <n v="215"/>
    <x v="0"/>
    <n v="195"/>
  </r>
  <r>
    <n v="951"/>
    <x v="950"/>
    <n v="21"/>
    <x v="1"/>
    <x v="1"/>
    <x v="2"/>
    <x v="0"/>
    <n v="5"/>
    <n v="7500"/>
    <d v="2022-05-20T00:00:00"/>
    <d v="2022-11-03T00:00:00"/>
    <n v="195"/>
    <n v="576"/>
    <x v="0"/>
    <n v="167"/>
  </r>
  <r>
    <n v="952"/>
    <x v="951"/>
    <n v="56"/>
    <x v="5"/>
    <x v="3"/>
    <x v="1"/>
    <x v="0"/>
    <n v="4"/>
    <n v="77200"/>
    <d v="2022-05-24T00:00:00"/>
    <d v="2023-01-20T00:00:00"/>
    <n v="508"/>
    <n v="498"/>
    <x v="0"/>
    <n v="241"/>
  </r>
  <r>
    <n v="953"/>
    <x v="952"/>
    <n v="27"/>
    <x v="6"/>
    <x v="1"/>
    <x v="1"/>
    <x v="1"/>
    <n v="3"/>
    <n v="6600"/>
    <d v="2022-05-08T00:00:00"/>
    <d v="2023-02-05T00:00:00"/>
    <n v="405"/>
    <n v="482"/>
    <x v="0"/>
    <n v="273"/>
  </r>
  <r>
    <n v="954"/>
    <x v="953"/>
    <n v="30"/>
    <x v="6"/>
    <x v="0"/>
    <x v="1"/>
    <x v="0"/>
    <n v="8"/>
    <n v="9600"/>
    <d v="2022-07-02T00:00:00"/>
    <d v="2022-10-20T00:00:00"/>
    <n v="896"/>
    <n v="590"/>
    <x v="0"/>
    <n v="110"/>
  </r>
  <r>
    <n v="955"/>
    <x v="954"/>
    <n v="62"/>
    <x v="4"/>
    <x v="3"/>
    <x v="1"/>
    <x v="1"/>
    <n v="2"/>
    <n v="35600"/>
    <d v="2022-11-12T00:00:00"/>
    <d v="2023-06-27T00:00:00"/>
    <n v="226"/>
    <n v="340"/>
    <x v="0"/>
    <n v="227"/>
  </r>
  <r>
    <n v="956"/>
    <x v="955"/>
    <n v="36"/>
    <x v="7"/>
    <x v="0"/>
    <x v="2"/>
    <x v="0"/>
    <n v="6"/>
    <n v="6000"/>
    <d v="2022-07-24T00:00:00"/>
    <d v="2022-09-08T00:00:00"/>
    <n v="66"/>
    <n v="632"/>
    <x v="0"/>
    <n v="46"/>
  </r>
  <r>
    <n v="957"/>
    <x v="956"/>
    <n v="33"/>
    <x v="1"/>
    <x v="0"/>
    <x v="1"/>
    <x v="0"/>
    <n v="2"/>
    <n v="2000"/>
    <d v="2022-04-09T00:00:00"/>
    <d v="2023-05-22T00:00:00"/>
    <n v="240"/>
    <n v="376"/>
    <x v="0"/>
    <n v="408"/>
  </r>
  <r>
    <n v="958"/>
    <x v="957"/>
    <n v="27"/>
    <x v="6"/>
    <x v="0"/>
    <x v="2"/>
    <x v="1"/>
    <n v="6"/>
    <n v="7200"/>
    <d v="2023-07-30T00:00:00"/>
    <d v="2024-06-14T00:00:00"/>
    <n v="132"/>
    <n v="-13"/>
    <x v="1"/>
    <n v="320"/>
  </r>
  <r>
    <n v="959"/>
    <x v="958"/>
    <n v="35"/>
    <x v="4"/>
    <x v="3"/>
    <x v="2"/>
    <x v="0"/>
    <n v="4"/>
    <n v="34000"/>
    <d v="2023-01-01T00:00:00"/>
    <d v="2023-06-15T00:00:00"/>
    <n v="84"/>
    <n v="352"/>
    <x v="0"/>
    <n v="165"/>
  </r>
  <r>
    <n v="960"/>
    <x v="959"/>
    <n v="45"/>
    <x v="7"/>
    <x v="3"/>
    <x v="0"/>
    <x v="0"/>
    <n v="4"/>
    <n v="80000"/>
    <d v="2022-08-14T00:00:00"/>
    <d v="2022-09-16T00:00:00"/>
    <n v="2428"/>
    <n v="624"/>
    <x v="0"/>
    <n v="33"/>
  </r>
  <r>
    <n v="961"/>
    <x v="960"/>
    <n v="47"/>
    <x v="2"/>
    <x v="0"/>
    <x v="1"/>
    <x v="0"/>
    <n v="5"/>
    <n v="8500"/>
    <d v="2023-05-27T00:00:00"/>
    <d v="2023-07-18T00:00:00"/>
    <n v="720"/>
    <n v="319"/>
    <x v="0"/>
    <n v="52"/>
  </r>
  <r>
    <n v="962"/>
    <x v="961"/>
    <n v="41"/>
    <x v="6"/>
    <x v="2"/>
    <x v="1"/>
    <x v="1"/>
    <n v="7"/>
    <n v="60200"/>
    <d v="2022-05-17T00:00:00"/>
    <d v="2022-11-03T00:00:00"/>
    <n v="847"/>
    <n v="576"/>
    <x v="0"/>
    <n v="170"/>
  </r>
  <r>
    <n v="963"/>
    <x v="962"/>
    <n v="22"/>
    <x v="2"/>
    <x v="3"/>
    <x v="1"/>
    <x v="0"/>
    <n v="10"/>
    <n v="242000"/>
    <d v="2023-04-05T00:00:00"/>
    <d v="2023-10-17T00:00:00"/>
    <n v="1420"/>
    <n v="228"/>
    <x v="0"/>
    <n v="195"/>
  </r>
  <r>
    <n v="964"/>
    <x v="963"/>
    <n v="60"/>
    <x v="4"/>
    <x v="0"/>
    <x v="3"/>
    <x v="0"/>
    <n v="2"/>
    <n v="2200"/>
    <d v="2022-08-31T00:00:00"/>
    <d v="2023-09-12T00:00:00"/>
    <n v="114"/>
    <n v="263"/>
    <x v="0"/>
    <n v="377"/>
  </r>
  <r>
    <n v="965"/>
    <x v="964"/>
    <n v="44"/>
    <x v="4"/>
    <x v="0"/>
    <x v="1"/>
    <x v="0"/>
    <n v="8"/>
    <n v="8800"/>
    <d v="2022-07-26T00:00:00"/>
    <d v="2022-10-11T00:00:00"/>
    <n v="1072"/>
    <n v="599"/>
    <x v="0"/>
    <n v="77"/>
  </r>
  <r>
    <n v="966"/>
    <x v="965"/>
    <n v="49"/>
    <x v="4"/>
    <x v="0"/>
    <x v="3"/>
    <x v="1"/>
    <n v="6"/>
    <n v="4800"/>
    <d v="2022-10-12T00:00:00"/>
    <d v="2023-03-23T00:00:00"/>
    <n v="192"/>
    <n v="436"/>
    <x v="0"/>
    <n v="162"/>
  </r>
  <r>
    <n v="967"/>
    <x v="966"/>
    <n v="42"/>
    <x v="1"/>
    <x v="2"/>
    <x v="1"/>
    <x v="0"/>
    <n v="6"/>
    <n v="30000"/>
    <d v="2022-07-30T00:00:00"/>
    <d v="2023-05-02T00:00:00"/>
    <n v="678"/>
    <n v="396"/>
    <x v="0"/>
    <n v="276"/>
  </r>
  <r>
    <n v="968"/>
    <x v="967"/>
    <n v="41"/>
    <x v="4"/>
    <x v="1"/>
    <x v="2"/>
    <x v="1"/>
    <n v="3"/>
    <n v="8400"/>
    <d v="2022-01-07T00:00:00"/>
    <d v="2022-02-09T00:00:00"/>
    <n v="123"/>
    <n v="843"/>
    <x v="0"/>
    <n v="33"/>
  </r>
  <r>
    <n v="969"/>
    <x v="968"/>
    <n v="34"/>
    <x v="0"/>
    <x v="1"/>
    <x v="1"/>
    <x v="0"/>
    <n v="3"/>
    <n v="4200"/>
    <d v="2022-06-27T00:00:00"/>
    <d v="2023-04-26T00:00:00"/>
    <n v="435"/>
    <n v="402"/>
    <x v="0"/>
    <n v="303"/>
  </r>
  <r>
    <n v="970"/>
    <x v="969"/>
    <n v="50"/>
    <x v="4"/>
    <x v="1"/>
    <x v="1"/>
    <x v="2"/>
    <n v="5"/>
    <n v="8500"/>
    <d v="2022-07-22T00:00:00"/>
    <d v="2022-11-24T00:00:00"/>
    <n v="685"/>
    <n v="555"/>
    <x v="0"/>
    <n v="125"/>
  </r>
  <r>
    <n v="971"/>
    <x v="970"/>
    <n v="57"/>
    <x v="6"/>
    <x v="1"/>
    <x v="0"/>
    <x v="0"/>
    <n v="8"/>
    <n v="40000"/>
    <d v="2022-07-26T00:00:00"/>
    <d v="2022-12-12T00:00:00"/>
    <n v="4960"/>
    <n v="537"/>
    <x v="0"/>
    <n v="139"/>
  </r>
  <r>
    <n v="972"/>
    <x v="971"/>
    <n v="31"/>
    <x v="0"/>
    <x v="2"/>
    <x v="2"/>
    <x v="2"/>
    <n v="8"/>
    <n v="52800"/>
    <d v="2023-03-09T00:00:00"/>
    <d v="2023-11-22T00:00:00"/>
    <n v="392"/>
    <n v="192"/>
    <x v="0"/>
    <n v="258"/>
  </r>
  <r>
    <n v="973"/>
    <x v="972"/>
    <n v="45"/>
    <x v="1"/>
    <x v="1"/>
    <x v="2"/>
    <x v="0"/>
    <n v="7"/>
    <n v="31500"/>
    <d v="2022-03-27T00:00:00"/>
    <d v="2023-04-19T00:00:00"/>
    <n v="203"/>
    <n v="409"/>
    <x v="0"/>
    <n v="388"/>
  </r>
  <r>
    <n v="974"/>
    <x v="973"/>
    <n v="50"/>
    <x v="6"/>
    <x v="1"/>
    <x v="0"/>
    <x v="2"/>
    <n v="5"/>
    <n v="14500"/>
    <d v="2022-10-18T00:00:00"/>
    <d v="2023-04-28T00:00:00"/>
    <n v="3125"/>
    <n v="400"/>
    <x v="0"/>
    <n v="192"/>
  </r>
  <r>
    <n v="975"/>
    <x v="974"/>
    <n v="51"/>
    <x v="5"/>
    <x v="0"/>
    <x v="0"/>
    <x v="0"/>
    <n v="4"/>
    <n v="3200"/>
    <d v="2022-07-14T00:00:00"/>
    <d v="2022-07-16T00:00:00"/>
    <n v="2360"/>
    <n v="686"/>
    <x v="0"/>
    <n v="2"/>
  </r>
  <r>
    <n v="976"/>
    <x v="975"/>
    <n v="46"/>
    <x v="2"/>
    <x v="3"/>
    <x v="2"/>
    <x v="2"/>
    <n v="6"/>
    <n v="105600"/>
    <d v="2023-05-17T00:00:00"/>
    <d v="2023-10-21T00:00:00"/>
    <n v="282"/>
    <n v="224"/>
    <x v="0"/>
    <n v="157"/>
  </r>
  <r>
    <n v="977"/>
    <x v="976"/>
    <n v="45"/>
    <x v="0"/>
    <x v="3"/>
    <x v="1"/>
    <x v="0"/>
    <n v="10"/>
    <n v="103000"/>
    <d v="2022-07-18T00:00:00"/>
    <d v="2023-08-12T00:00:00"/>
    <n v="1370"/>
    <n v="294"/>
    <x v="0"/>
    <n v="390"/>
  </r>
  <r>
    <n v="978"/>
    <x v="977"/>
    <n v="65"/>
    <x v="3"/>
    <x v="2"/>
    <x v="2"/>
    <x v="0"/>
    <n v="1"/>
    <n v="8300"/>
    <d v="2023-01-30T00:00:00"/>
    <d v="2024-05-18T00:00:00"/>
    <n v="37"/>
    <n v="14"/>
    <x v="1"/>
    <n v="474"/>
  </r>
  <r>
    <n v="979"/>
    <x v="978"/>
    <n v="44"/>
    <x v="4"/>
    <x v="1"/>
    <x v="2"/>
    <x v="0"/>
    <n v="1"/>
    <n v="3900"/>
    <d v="2022-06-01T00:00:00"/>
    <d v="2022-10-12T00:00:00"/>
    <n v="48"/>
    <n v="598"/>
    <x v="0"/>
    <n v="133"/>
  </r>
  <r>
    <n v="980"/>
    <x v="979"/>
    <n v="59"/>
    <x v="5"/>
    <x v="1"/>
    <x v="0"/>
    <x v="0"/>
    <n v="10"/>
    <n v="49000"/>
    <d v="2022-06-15T00:00:00"/>
    <d v="2022-06-21T00:00:00"/>
    <n v="5970"/>
    <n v="711"/>
    <x v="0"/>
    <n v="6"/>
  </r>
  <r>
    <n v="981"/>
    <x v="980"/>
    <n v="26"/>
    <x v="0"/>
    <x v="3"/>
    <x v="2"/>
    <x v="1"/>
    <n v="9"/>
    <n v="100800"/>
    <d v="2023-03-10T00:00:00"/>
    <d v="2023-06-02T00:00:00"/>
    <n v="333"/>
    <n v="365"/>
    <x v="0"/>
    <n v="84"/>
  </r>
  <r>
    <n v="982"/>
    <x v="981"/>
    <n v="40"/>
    <x v="3"/>
    <x v="2"/>
    <x v="2"/>
    <x v="1"/>
    <n v="7"/>
    <n v="64400"/>
    <d v="2022-04-02T00:00:00"/>
    <d v="2022-05-27T00:00:00"/>
    <n v="350"/>
    <n v="736"/>
    <x v="0"/>
    <n v="55"/>
  </r>
  <r>
    <n v="983"/>
    <x v="982"/>
    <n v="46"/>
    <x v="2"/>
    <x v="1"/>
    <x v="0"/>
    <x v="0"/>
    <n v="5"/>
    <n v="5000"/>
    <d v="2022-06-22T00:00:00"/>
    <d v="2023-08-13T00:00:00"/>
    <n v="3105"/>
    <n v="293"/>
    <x v="0"/>
    <n v="417"/>
  </r>
  <r>
    <n v="984"/>
    <x v="983"/>
    <n v="54"/>
    <x v="7"/>
    <x v="0"/>
    <x v="1"/>
    <x v="2"/>
    <n v="7"/>
    <n v="12600"/>
    <d v="2022-10-23T00:00:00"/>
    <d v="2023-11-02T00:00:00"/>
    <n v="959"/>
    <n v="212"/>
    <x v="0"/>
    <n v="375"/>
  </r>
  <r>
    <n v="985"/>
    <x v="984"/>
    <n v="29"/>
    <x v="6"/>
    <x v="1"/>
    <x v="0"/>
    <x v="0"/>
    <n v="4"/>
    <n v="12000"/>
    <d v="2022-07-06T00:00:00"/>
    <d v="2023-03-20T00:00:00"/>
    <n v="2388"/>
    <n v="439"/>
    <x v="0"/>
    <n v="257"/>
  </r>
  <r>
    <n v="986"/>
    <x v="985"/>
    <n v="24"/>
    <x v="5"/>
    <x v="1"/>
    <x v="3"/>
    <x v="0"/>
    <n v="3"/>
    <n v="12900"/>
    <d v="2022-07-16T00:00:00"/>
    <d v="2022-11-25T00:00:00"/>
    <n v="168"/>
    <n v="554"/>
    <x v="0"/>
    <n v="132"/>
  </r>
  <r>
    <n v="987"/>
    <x v="986"/>
    <n v="39"/>
    <x v="5"/>
    <x v="0"/>
    <x v="3"/>
    <x v="0"/>
    <n v="2"/>
    <n v="2600"/>
    <d v="2022-05-08T00:00:00"/>
    <d v="2022-09-26T00:00:00"/>
    <n v="68"/>
    <n v="614"/>
    <x v="0"/>
    <n v="141"/>
  </r>
  <r>
    <n v="988"/>
    <x v="987"/>
    <n v="52"/>
    <x v="2"/>
    <x v="0"/>
    <x v="3"/>
    <x v="2"/>
    <n v="2"/>
    <n v="1000"/>
    <d v="2022-03-04T00:00:00"/>
    <d v="2022-07-18T00:00:00"/>
    <n v="60"/>
    <n v="684"/>
    <x v="0"/>
    <n v="136"/>
  </r>
  <r>
    <n v="989"/>
    <x v="988"/>
    <n v="21"/>
    <x v="7"/>
    <x v="0"/>
    <x v="3"/>
    <x v="1"/>
    <n v="7"/>
    <n v="11900"/>
    <d v="2023-06-17T00:00:00"/>
    <d v="2024-10-21T00:00:00"/>
    <n v="329"/>
    <n v="-142"/>
    <x v="1"/>
    <n v="492"/>
  </r>
  <r>
    <n v="990"/>
    <x v="989"/>
    <n v="48"/>
    <x v="5"/>
    <x v="3"/>
    <x v="0"/>
    <x v="1"/>
    <n v="6"/>
    <n v="102600"/>
    <d v="2022-12-18T00:00:00"/>
    <d v="2023-05-28T00:00:00"/>
    <n v="3630"/>
    <n v="370"/>
    <x v="0"/>
    <n v="161"/>
  </r>
  <r>
    <n v="991"/>
    <x v="990"/>
    <n v="24"/>
    <x v="2"/>
    <x v="3"/>
    <x v="2"/>
    <x v="1"/>
    <n v="6"/>
    <n v="94800"/>
    <d v="2022-04-13T00:00:00"/>
    <d v="2022-04-14T00:00:00"/>
    <n v="234"/>
    <n v="779"/>
    <x v="0"/>
    <n v="1"/>
  </r>
  <r>
    <n v="992"/>
    <x v="991"/>
    <n v="28"/>
    <x v="1"/>
    <x v="1"/>
    <x v="1"/>
    <x v="1"/>
    <n v="9"/>
    <n v="18900"/>
    <d v="2022-09-12T00:00:00"/>
    <d v="2023-03-19T00:00:00"/>
    <n v="1242"/>
    <n v="440"/>
    <x v="0"/>
    <n v="188"/>
  </r>
  <r>
    <n v="993"/>
    <x v="992"/>
    <n v="61"/>
    <x v="5"/>
    <x v="3"/>
    <x v="3"/>
    <x v="0"/>
    <n v="6"/>
    <n v="33000"/>
    <d v="2023-01-04T00:00:00"/>
    <d v="2024-03-26T00:00:00"/>
    <n v="192"/>
    <n v="67"/>
    <x v="1"/>
    <n v="447"/>
  </r>
  <r>
    <n v="994"/>
    <x v="993"/>
    <n v="52"/>
    <x v="2"/>
    <x v="3"/>
    <x v="3"/>
    <x v="1"/>
    <n v="7"/>
    <n v="53900"/>
    <d v="2022-12-23T00:00:00"/>
    <d v="2023-07-30T00:00:00"/>
    <n v="420"/>
    <n v="307"/>
    <x v="0"/>
    <n v="219"/>
  </r>
  <r>
    <n v="995"/>
    <x v="994"/>
    <n v="33"/>
    <x v="0"/>
    <x v="3"/>
    <x v="0"/>
    <x v="1"/>
    <n v="3"/>
    <n v="66000"/>
    <d v="2023-08-09T00:00:00"/>
    <d v="2024-09-13T00:00:00"/>
    <n v="1866"/>
    <n v="-104"/>
    <x v="1"/>
    <n v="401"/>
  </r>
  <r>
    <n v="996"/>
    <x v="995"/>
    <n v="40"/>
    <x v="7"/>
    <x v="1"/>
    <x v="2"/>
    <x v="0"/>
    <n v="9"/>
    <n v="41400"/>
    <d v="2023-04-24T00:00:00"/>
    <d v="2023-07-19T00:00:00"/>
    <n v="342"/>
    <n v="318"/>
    <x v="0"/>
    <n v="86"/>
  </r>
  <r>
    <n v="997"/>
    <x v="996"/>
    <n v="34"/>
    <x v="0"/>
    <x v="3"/>
    <x v="3"/>
    <x v="0"/>
    <n v="3"/>
    <n v="23700"/>
    <d v="2022-04-19T00:00:00"/>
    <d v="2022-11-27T00:00:00"/>
    <n v="93"/>
    <n v="552"/>
    <x v="0"/>
    <n v="222"/>
  </r>
  <r>
    <n v="998"/>
    <x v="997"/>
    <n v="35"/>
    <x v="6"/>
    <x v="2"/>
    <x v="2"/>
    <x v="0"/>
    <n v="5"/>
    <n v="42500"/>
    <d v="2023-05-03T00:00:00"/>
    <d v="2024-09-01T00:00:00"/>
    <n v="85"/>
    <n v="-92"/>
    <x v="1"/>
    <n v="487"/>
  </r>
  <r>
    <n v="999"/>
    <x v="998"/>
    <n v="35"/>
    <x v="6"/>
    <x v="3"/>
    <x v="1"/>
    <x v="0"/>
    <n v="10"/>
    <n v="247000"/>
    <d v="2022-03-08T00:00:00"/>
    <d v="2023-01-31T00:00:00"/>
    <n v="1310"/>
    <n v="487"/>
    <x v="0"/>
    <n v="329"/>
  </r>
  <r>
    <n v="1000"/>
    <x v="999"/>
    <n v="35"/>
    <x v="1"/>
    <x v="3"/>
    <x v="2"/>
    <x v="0"/>
    <n v="5"/>
    <n v="44000"/>
    <d v="2022-10-25T00:00:00"/>
    <d v="2022-12-08T00:00:00"/>
    <n v="85"/>
    <n v="541"/>
    <x v="0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69BE5-FD95-445C-850E-99A30F526122}" name="pivot_ROI" cacheId="5" applyNumberFormats="0" applyBorderFormats="0" applyFontFormats="0" applyPatternFormats="0" applyAlignmentFormats="0" applyWidthHeightFormats="1" dataCaption="Values" updatedVersion="8" minRefreshableVersion="3" showDrill="0" useAutoFormatting="1" rowGrandTotals="0" itemPrintTitles="1" createdVersion="8" indent="0" showHeaders="0" outline="1" outlineData="1" multipleFieldFilters="0" rowHeaderCaption="Channel">
  <location ref="H3:K7" firstHeaderRow="0" firstDataRow="1" firstDataCol="1"/>
  <pivotFields count="16">
    <pivotField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axis="axisRow" showAll="0" sortType="a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numFmtId="14" showAll="0"/>
    <pivotField numFmtId="14"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5"/>
  </rowFields>
  <rowItems count="4">
    <i>
      <x v="2"/>
    </i>
    <i>
      <x/>
    </i>
    <i>
      <x v="3"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aised" fld="8" baseField="4" baseItem="0" numFmtId="164"/>
    <dataField name="Total Campaign Cost" fld="11" baseField="5" baseItem="0" numFmtId="164"/>
    <dataField name="Cost per ₹ Raised" fld="15" baseField="5" baseItem="0" numFmtId="166"/>
  </dataFields>
  <formats count="8">
    <format dxfId="1">
      <pivotArea outline="0" collapsedLevelsAreSubtotals="1" fieldPosition="0"/>
    </format>
    <format dxfId="2">
      <pivotArea dataOnly="0" labelOnly="1" outline="0" axis="axisValues" fieldPosition="0"/>
    </format>
    <format dxfId="3">
      <pivotArea field="4" grandRow="1" outline="0" collapsedLevelsAreSubtotals="1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5" count="1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9C15B-9472-489C-926A-BE3102F646E7}" name="pivot_churn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Channel" colHeaderCaption="">
  <location ref="A12:C17" firstHeaderRow="1" firstDataRow="2" firstDataCol="1"/>
  <pivotFields count="16">
    <pivotField dataField="1"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ragToRow="0" dragToCol="0" dragToPage="0" showAll="0" defaultSubtotal="0"/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13"/>
  </colFields>
  <colItems count="2">
    <i>
      <x/>
    </i>
    <i>
      <x v="1"/>
    </i>
  </colItems>
  <dataFields count="1">
    <dataField name="Donors Status %" fld="0" subtotal="count" showDataAs="percentOfRow" baseField="5" baseItem="1" numFmtId="10"/>
  </dataFields>
  <formats count="6"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13" count="1" selected="0">
            <x v="0"/>
          </reference>
        </references>
      </pivotArea>
    </format>
    <format dxfId="11">
      <pivotArea field="13" type="button" dataOnly="0" labelOnly="1" outline="0" axis="axisCol" fieldPosition="0"/>
    </format>
    <format dxfId="10">
      <pivotArea dataOnly="0" labelOnly="1" fieldPosition="0">
        <references count="1">
          <reference field="13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9C3A7-1B17-4CBC-BE6D-AF97339D09D1}" name="pivot_segment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 rowHeaderCaption="Income Bracket">
  <location ref="A3:E7" firstHeaderRow="0" firstDataRow="1" firstDataCol="1"/>
  <pivotFields count="16">
    <pivotField dataField="1"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Donations per Donar" fld="8" subtotal="average" baseField="4" baseItem="0" numFmtId="44"/>
    <dataField name="No. of Donors" fld="0" subtotal="count" showDataAs="percentOfCol" baseField="4" baseItem="0" numFmtId="10"/>
    <dataField name="Avg No. of Donations" fld="7" subtotal="average" baseField="4" baseItem="0" numFmtId="2"/>
    <dataField name="Total Raised" fld="8" baseField="4" baseItem="0" numFmtId="164"/>
  </dataFields>
  <formats count="12"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7E6A6-373E-428A-90CE-1220AD225761}" name="Pivot_Cause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 rowHeaderCaption="Cause">
  <location ref="H14:K18" firstHeaderRow="0" firstDataRow="1" firstDataCol="1"/>
  <pivotFields count="16">
    <pivotField dataField="1"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aised" fld="8" baseField="6" baseItem="0" numFmtId="164"/>
    <dataField name="No. of Donors" fld="0" subtotal="count" baseField="6" baseItem="0"/>
    <dataField name="% of Donors" fld="0" subtotal="count" showDataAs="percentOfCol" baseField="6" baseItem="1" numFmtId="10"/>
  </dataFields>
  <formats count="4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2ABCB5-FAFB-495F-8AE1-B811C0CABF3F}" autoFormatId="16" applyNumberFormats="0" applyBorderFormats="0" applyFontFormats="0" applyPatternFormats="0" applyAlignmentFormats="0" applyWidthHeightFormats="0">
  <queryTableRefresh nextId="16">
    <queryTableFields count="15">
      <queryTableField id="1" name="donor_id" tableColumnId="1"/>
      <queryTableField id="2" name="name" tableColumnId="2"/>
      <queryTableField id="3" name="age" tableColumnId="3"/>
      <queryTableField id="4" name="city" tableColumnId="4"/>
      <queryTableField id="5" name="income_bracket" tableColumnId="5"/>
      <queryTableField id="6" name="channel" tableColumnId="6"/>
      <queryTableField id="7" name="cause_supported" tableColumnId="7"/>
      <queryTableField id="8" name="num_donations" tableColumnId="8"/>
      <queryTableField id="9" name="total_donated_inr" tableColumnId="9"/>
      <queryTableField id="10" name="first_donation_date" tableColumnId="10"/>
      <queryTableField id="11" name="last_donation_date" tableColumnId="11"/>
      <queryTableField id="12" name="channel_cost_inr" tableColumnId="12"/>
      <queryTableField id="13" name="days_since_last_donation" tableColumnId="13"/>
      <queryTableField id="14" name="status" tableColumnId="14"/>
      <queryTableField id="15" name="donor_lifetime_day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E55EA-79B3-4A4D-8354-A4B3418E0EF8}" name="donor_data" displayName="donor_data" ref="A1:O1001" tableType="queryTable" totalsRowShown="0">
  <autoFilter ref="A1:O1001" xr:uid="{B5AE55EA-79B3-4A4D-8354-A4B3418E0EF8}"/>
  <tableColumns count="15">
    <tableColumn id="1" xr3:uid="{8A2B96D1-2DAC-4EE8-B12B-F632CDC7E85F}" uniqueName="1" name="donor_id" queryTableFieldId="1"/>
    <tableColumn id="2" xr3:uid="{0FCBC180-9BC2-48B9-A01A-7C9F9F830814}" uniqueName="2" name="name" queryTableFieldId="2" dataDxfId="37"/>
    <tableColumn id="3" xr3:uid="{CE0D58C0-9413-4023-9D32-C302B6FE1178}" uniqueName="3" name="age" queryTableFieldId="3"/>
    <tableColumn id="4" xr3:uid="{66496228-EEB2-422C-B588-DC9597E5D7B4}" uniqueName="4" name="city" queryTableFieldId="4" dataDxfId="36"/>
    <tableColumn id="5" xr3:uid="{94D5D356-8547-4DC7-B7AA-0A474AE381B3}" uniqueName="5" name="income_bracket" queryTableFieldId="5" dataDxfId="35"/>
    <tableColumn id="6" xr3:uid="{6274B24E-ECC6-48E8-A779-A42F1D9FDF7F}" uniqueName="6" name="channel" queryTableFieldId="6" dataDxfId="34"/>
    <tableColumn id="7" xr3:uid="{7F0884CE-E787-4A2D-8478-10E1581A15EC}" uniqueName="7" name="cause_supported" queryTableFieldId="7" dataDxfId="33"/>
    <tableColumn id="8" xr3:uid="{E3AEC925-BB85-4BB5-A020-067C4A1B9158}" uniqueName="8" name="num_donations" queryTableFieldId="8"/>
    <tableColumn id="9" xr3:uid="{86553863-A034-4569-BC05-DDE2514E6FB0}" uniqueName="9" name="total_donated_inr" queryTableFieldId="9"/>
    <tableColumn id="10" xr3:uid="{5A0EC2EF-E220-48E5-8F10-592048FA73C0}" uniqueName="10" name="first_donation_date" queryTableFieldId="10" dataDxfId="32"/>
    <tableColumn id="11" xr3:uid="{6266FE63-9C5C-401C-9BAD-472D5955BF22}" uniqueName="11" name="last_donation_date" queryTableFieldId="11" dataDxfId="31"/>
    <tableColumn id="12" xr3:uid="{BC964896-714F-4EC2-B4AC-C671815DFDB4}" uniqueName="12" name="channel_cost_inr" queryTableFieldId="12"/>
    <tableColumn id="13" xr3:uid="{69EC11FA-7269-4BB2-AC2D-0C6349E3330F}" uniqueName="13" name="days_since_last_donation" queryTableFieldId="13"/>
    <tableColumn id="14" xr3:uid="{AA144C99-EBC3-494C-97A5-2B4CD19E15AC}" uniqueName="14" name="status" queryTableFieldId="14" dataDxfId="30"/>
    <tableColumn id="15" xr3:uid="{EB3FA18D-1749-431C-8D58-89112AC7844D}" uniqueName="15" name="donor_lifetime_days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4ADC-7183-4735-9964-368F828F5941}">
  <dimension ref="A1:O1001"/>
  <sheetViews>
    <sheetView zoomScaleNormal="100" workbookViewId="0">
      <selection activeCell="E6" sqref="E6"/>
    </sheetView>
  </sheetViews>
  <sheetFormatPr defaultRowHeight="14.4" x14ac:dyDescent="0.3"/>
  <cols>
    <col min="1" max="1" width="10.88671875" bestFit="1" customWidth="1"/>
    <col min="2" max="2" width="11.109375" bestFit="1" customWidth="1"/>
    <col min="3" max="3" width="6.21875" bestFit="1" customWidth="1"/>
    <col min="4" max="4" width="10.109375" bestFit="1" customWidth="1"/>
    <col min="5" max="5" width="16.88671875" bestFit="1" customWidth="1"/>
    <col min="6" max="6" width="11.33203125" bestFit="1" customWidth="1"/>
    <col min="7" max="7" width="17.77734375" bestFit="1" customWidth="1"/>
    <col min="8" max="8" width="16.6640625" bestFit="1" customWidth="1"/>
    <col min="9" max="9" width="18.5546875" bestFit="1" customWidth="1"/>
    <col min="10" max="10" width="20.109375" bestFit="1" customWidth="1"/>
    <col min="11" max="11" width="19.77734375" bestFit="1" customWidth="1"/>
    <col min="12" max="12" width="17.6640625" bestFit="1" customWidth="1"/>
    <col min="13" max="13" width="25.21875" bestFit="1" customWidth="1"/>
    <col min="14" max="14" width="8.21875" bestFit="1" customWidth="1"/>
    <col min="15" max="15" width="20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>
        <v>35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2100</v>
      </c>
      <c r="J2" s="1">
        <v>45120</v>
      </c>
      <c r="K2" s="1">
        <v>45164</v>
      </c>
      <c r="L2">
        <v>1881</v>
      </c>
      <c r="M2">
        <v>280</v>
      </c>
      <c r="N2" t="s">
        <v>20</v>
      </c>
      <c r="O2">
        <v>44</v>
      </c>
    </row>
    <row r="3" spans="1:15" x14ac:dyDescent="0.3">
      <c r="A3">
        <v>2</v>
      </c>
      <c r="B3" t="s">
        <v>21</v>
      </c>
      <c r="C3">
        <v>34</v>
      </c>
      <c r="D3" t="s">
        <v>22</v>
      </c>
      <c r="E3" t="s">
        <v>17</v>
      </c>
      <c r="F3" t="s">
        <v>23</v>
      </c>
      <c r="G3" t="s">
        <v>19</v>
      </c>
      <c r="H3">
        <v>4</v>
      </c>
      <c r="I3">
        <v>6000</v>
      </c>
      <c r="J3" s="1">
        <v>44589</v>
      </c>
      <c r="K3" s="1">
        <v>44876</v>
      </c>
      <c r="L3">
        <v>488</v>
      </c>
      <c r="M3">
        <v>568</v>
      </c>
      <c r="N3" t="s">
        <v>20</v>
      </c>
      <c r="O3">
        <v>287</v>
      </c>
    </row>
    <row r="4" spans="1:15" x14ac:dyDescent="0.3">
      <c r="A4">
        <v>3</v>
      </c>
      <c r="B4" t="s">
        <v>24</v>
      </c>
      <c r="C4">
        <v>38</v>
      </c>
      <c r="D4" t="s">
        <v>22</v>
      </c>
      <c r="E4" t="s">
        <v>25</v>
      </c>
      <c r="F4" t="s">
        <v>26</v>
      </c>
      <c r="G4" t="s">
        <v>27</v>
      </c>
      <c r="H4">
        <v>1</v>
      </c>
      <c r="I4">
        <v>4100</v>
      </c>
      <c r="J4" s="1">
        <v>44725</v>
      </c>
      <c r="K4" s="1">
        <v>45082</v>
      </c>
      <c r="L4">
        <v>37</v>
      </c>
      <c r="M4">
        <v>362</v>
      </c>
      <c r="N4" t="s">
        <v>20</v>
      </c>
      <c r="O4">
        <v>357</v>
      </c>
    </row>
    <row r="5" spans="1:15" x14ac:dyDescent="0.3">
      <c r="A5">
        <v>4</v>
      </c>
      <c r="B5" t="s">
        <v>28</v>
      </c>
      <c r="C5">
        <v>42</v>
      </c>
      <c r="D5" t="s">
        <v>29</v>
      </c>
      <c r="E5" t="s">
        <v>30</v>
      </c>
      <c r="F5" t="s">
        <v>31</v>
      </c>
      <c r="G5" t="s">
        <v>19</v>
      </c>
      <c r="H5">
        <v>2</v>
      </c>
      <c r="I5">
        <v>7600</v>
      </c>
      <c r="J5" s="1">
        <v>44951</v>
      </c>
      <c r="K5" s="1">
        <v>45000</v>
      </c>
      <c r="L5">
        <v>104</v>
      </c>
      <c r="M5">
        <v>444</v>
      </c>
      <c r="N5" t="s">
        <v>20</v>
      </c>
      <c r="O5">
        <v>49</v>
      </c>
    </row>
    <row r="6" spans="1:15" x14ac:dyDescent="0.3">
      <c r="A6">
        <v>5</v>
      </c>
      <c r="B6" t="s">
        <v>32</v>
      </c>
      <c r="C6">
        <v>55</v>
      </c>
      <c r="D6" t="s">
        <v>29</v>
      </c>
      <c r="E6" t="s">
        <v>30</v>
      </c>
      <c r="F6" t="s">
        <v>23</v>
      </c>
      <c r="G6" t="s">
        <v>33</v>
      </c>
      <c r="H6">
        <v>2</v>
      </c>
      <c r="I6">
        <v>12200</v>
      </c>
      <c r="J6" s="1">
        <v>44642</v>
      </c>
      <c r="K6" s="1">
        <v>44924</v>
      </c>
      <c r="L6">
        <v>256</v>
      </c>
      <c r="M6">
        <v>520</v>
      </c>
      <c r="N6" t="s">
        <v>20</v>
      </c>
      <c r="O6">
        <v>282</v>
      </c>
    </row>
    <row r="7" spans="1:15" x14ac:dyDescent="0.3">
      <c r="A7">
        <v>6</v>
      </c>
      <c r="B7" t="s">
        <v>34</v>
      </c>
      <c r="C7">
        <v>63</v>
      </c>
      <c r="D7" t="s">
        <v>29</v>
      </c>
      <c r="E7" t="s">
        <v>25</v>
      </c>
      <c r="F7" t="s">
        <v>23</v>
      </c>
      <c r="G7" t="s">
        <v>19</v>
      </c>
      <c r="H7">
        <v>4</v>
      </c>
      <c r="I7">
        <v>16800</v>
      </c>
      <c r="J7" s="1">
        <v>44858</v>
      </c>
      <c r="K7" s="1">
        <v>44898</v>
      </c>
      <c r="L7">
        <v>496</v>
      </c>
      <c r="M7">
        <v>546</v>
      </c>
      <c r="N7" t="s">
        <v>20</v>
      </c>
      <c r="O7">
        <v>40</v>
      </c>
    </row>
    <row r="8" spans="1:15" x14ac:dyDescent="0.3">
      <c r="A8">
        <v>7</v>
      </c>
      <c r="B8" t="s">
        <v>35</v>
      </c>
      <c r="C8">
        <v>61</v>
      </c>
      <c r="D8" t="s">
        <v>16</v>
      </c>
      <c r="E8" t="s">
        <v>36</v>
      </c>
      <c r="F8" t="s">
        <v>18</v>
      </c>
      <c r="G8" t="s">
        <v>33</v>
      </c>
      <c r="H8">
        <v>6</v>
      </c>
      <c r="I8">
        <v>61800</v>
      </c>
      <c r="J8" s="1">
        <v>44941</v>
      </c>
      <c r="K8" s="1">
        <v>45122</v>
      </c>
      <c r="L8">
        <v>3618</v>
      </c>
      <c r="M8">
        <v>322</v>
      </c>
      <c r="N8" t="s">
        <v>20</v>
      </c>
      <c r="O8">
        <v>181</v>
      </c>
    </row>
    <row r="9" spans="1:15" x14ac:dyDescent="0.3">
      <c r="A9">
        <v>8</v>
      </c>
      <c r="B9" t="s">
        <v>37</v>
      </c>
      <c r="C9">
        <v>36</v>
      </c>
      <c r="D9" t="s">
        <v>38</v>
      </c>
      <c r="E9" t="s">
        <v>17</v>
      </c>
      <c r="F9" t="s">
        <v>31</v>
      </c>
      <c r="G9" t="s">
        <v>27</v>
      </c>
      <c r="H9">
        <v>3</v>
      </c>
      <c r="I9">
        <v>4200</v>
      </c>
      <c r="J9" s="1">
        <v>44950</v>
      </c>
      <c r="K9" s="1">
        <v>45088</v>
      </c>
      <c r="L9">
        <v>210</v>
      </c>
      <c r="M9">
        <v>356</v>
      </c>
      <c r="N9" t="s">
        <v>20</v>
      </c>
      <c r="O9">
        <v>138</v>
      </c>
    </row>
    <row r="10" spans="1:15" x14ac:dyDescent="0.3">
      <c r="A10">
        <v>9</v>
      </c>
      <c r="B10" t="s">
        <v>39</v>
      </c>
      <c r="C10">
        <v>23</v>
      </c>
      <c r="D10" t="s">
        <v>40</v>
      </c>
      <c r="E10" t="s">
        <v>30</v>
      </c>
      <c r="F10" t="s">
        <v>23</v>
      </c>
      <c r="G10" t="s">
        <v>19</v>
      </c>
      <c r="H10">
        <v>6</v>
      </c>
      <c r="I10">
        <v>37800</v>
      </c>
      <c r="J10" s="1">
        <v>44836</v>
      </c>
      <c r="K10" s="1">
        <v>44869</v>
      </c>
      <c r="L10">
        <v>738</v>
      </c>
      <c r="M10">
        <v>575</v>
      </c>
      <c r="N10" t="s">
        <v>20</v>
      </c>
      <c r="O10">
        <v>33</v>
      </c>
    </row>
    <row r="11" spans="1:15" x14ac:dyDescent="0.3">
      <c r="A11">
        <v>10</v>
      </c>
      <c r="B11" t="s">
        <v>41</v>
      </c>
      <c r="C11">
        <v>62</v>
      </c>
      <c r="D11" t="s">
        <v>29</v>
      </c>
      <c r="E11" t="s">
        <v>25</v>
      </c>
      <c r="F11" t="s">
        <v>26</v>
      </c>
      <c r="G11" t="s">
        <v>33</v>
      </c>
      <c r="H11">
        <v>8</v>
      </c>
      <c r="I11">
        <v>12800</v>
      </c>
      <c r="J11" s="1">
        <v>44833</v>
      </c>
      <c r="K11" s="1">
        <v>44904</v>
      </c>
      <c r="L11">
        <v>200</v>
      </c>
      <c r="M11">
        <v>540</v>
      </c>
      <c r="N11" t="s">
        <v>20</v>
      </c>
      <c r="O11">
        <v>71</v>
      </c>
    </row>
    <row r="12" spans="1:15" x14ac:dyDescent="0.3">
      <c r="A12">
        <v>11</v>
      </c>
      <c r="B12" t="s">
        <v>42</v>
      </c>
      <c r="C12">
        <v>35</v>
      </c>
      <c r="D12" t="s">
        <v>38</v>
      </c>
      <c r="E12" t="s">
        <v>36</v>
      </c>
      <c r="F12" t="s">
        <v>26</v>
      </c>
      <c r="G12" t="s">
        <v>19</v>
      </c>
      <c r="H12">
        <v>3</v>
      </c>
      <c r="I12">
        <v>65100</v>
      </c>
      <c r="J12" s="1">
        <v>45067</v>
      </c>
      <c r="K12" s="1">
        <v>45113</v>
      </c>
      <c r="L12">
        <v>39</v>
      </c>
      <c r="M12">
        <v>331</v>
      </c>
      <c r="N12" t="s">
        <v>20</v>
      </c>
      <c r="O12">
        <v>46</v>
      </c>
    </row>
    <row r="13" spans="1:15" x14ac:dyDescent="0.3">
      <c r="A13">
        <v>12</v>
      </c>
      <c r="B13" t="s">
        <v>43</v>
      </c>
      <c r="C13">
        <v>59</v>
      </c>
      <c r="D13" t="s">
        <v>16</v>
      </c>
      <c r="E13" t="s">
        <v>25</v>
      </c>
      <c r="F13" t="s">
        <v>31</v>
      </c>
      <c r="G13" t="s">
        <v>33</v>
      </c>
      <c r="H13">
        <v>2</v>
      </c>
      <c r="I13">
        <v>5200</v>
      </c>
      <c r="J13" s="1">
        <v>44952</v>
      </c>
      <c r="K13" s="1">
        <v>45257</v>
      </c>
      <c r="L13">
        <v>118</v>
      </c>
      <c r="M13">
        <v>187</v>
      </c>
      <c r="N13" t="s">
        <v>20</v>
      </c>
      <c r="O13">
        <v>305</v>
      </c>
    </row>
    <row r="14" spans="1:15" x14ac:dyDescent="0.3">
      <c r="A14">
        <v>13</v>
      </c>
      <c r="B14" t="s">
        <v>44</v>
      </c>
      <c r="C14">
        <v>38</v>
      </c>
      <c r="D14" t="s">
        <v>38</v>
      </c>
      <c r="E14" t="s">
        <v>17</v>
      </c>
      <c r="F14" t="s">
        <v>23</v>
      </c>
      <c r="G14" t="s">
        <v>27</v>
      </c>
      <c r="H14">
        <v>6</v>
      </c>
      <c r="I14">
        <v>4200</v>
      </c>
      <c r="J14" s="1">
        <v>44862</v>
      </c>
      <c r="K14" s="1">
        <v>45084</v>
      </c>
      <c r="L14">
        <v>720</v>
      </c>
      <c r="M14">
        <v>360</v>
      </c>
      <c r="N14" t="s">
        <v>20</v>
      </c>
      <c r="O14">
        <v>222</v>
      </c>
    </row>
    <row r="15" spans="1:15" x14ac:dyDescent="0.3">
      <c r="A15">
        <v>14</v>
      </c>
      <c r="B15" t="s">
        <v>45</v>
      </c>
      <c r="C15">
        <v>32</v>
      </c>
      <c r="D15" t="s">
        <v>46</v>
      </c>
      <c r="E15" t="s">
        <v>17</v>
      </c>
      <c r="F15" t="s">
        <v>18</v>
      </c>
      <c r="G15" t="s">
        <v>27</v>
      </c>
      <c r="H15">
        <v>9</v>
      </c>
      <c r="I15">
        <v>6300</v>
      </c>
      <c r="J15" s="1">
        <v>44867</v>
      </c>
      <c r="K15" s="1">
        <v>45297</v>
      </c>
      <c r="L15">
        <v>5670</v>
      </c>
      <c r="M15">
        <v>147</v>
      </c>
      <c r="N15" t="s">
        <v>47</v>
      </c>
      <c r="O15">
        <v>430</v>
      </c>
    </row>
    <row r="16" spans="1:15" x14ac:dyDescent="0.3">
      <c r="A16">
        <v>15</v>
      </c>
      <c r="B16" t="s">
        <v>48</v>
      </c>
      <c r="C16">
        <v>55</v>
      </c>
      <c r="D16" t="s">
        <v>40</v>
      </c>
      <c r="E16" t="s">
        <v>25</v>
      </c>
      <c r="F16" t="s">
        <v>18</v>
      </c>
      <c r="G16" t="s">
        <v>19</v>
      </c>
      <c r="H16">
        <v>9</v>
      </c>
      <c r="I16">
        <v>43200</v>
      </c>
      <c r="J16" s="1">
        <v>44562</v>
      </c>
      <c r="K16" s="1">
        <v>44868</v>
      </c>
      <c r="L16">
        <v>5490</v>
      </c>
      <c r="M16">
        <v>576</v>
      </c>
      <c r="N16" t="s">
        <v>20</v>
      </c>
      <c r="O16">
        <v>306</v>
      </c>
    </row>
    <row r="17" spans="1:15" x14ac:dyDescent="0.3">
      <c r="A17">
        <v>16</v>
      </c>
      <c r="B17" t="s">
        <v>49</v>
      </c>
      <c r="C17">
        <v>40</v>
      </c>
      <c r="D17" t="s">
        <v>46</v>
      </c>
      <c r="E17" t="s">
        <v>17</v>
      </c>
      <c r="F17" t="s">
        <v>23</v>
      </c>
      <c r="G17" t="s">
        <v>19</v>
      </c>
      <c r="H17">
        <v>4</v>
      </c>
      <c r="I17">
        <v>2400</v>
      </c>
      <c r="J17" s="1">
        <v>44808</v>
      </c>
      <c r="K17" s="1">
        <v>45257</v>
      </c>
      <c r="L17">
        <v>584</v>
      </c>
      <c r="M17">
        <v>187</v>
      </c>
      <c r="N17" t="s">
        <v>20</v>
      </c>
      <c r="O17">
        <v>449</v>
      </c>
    </row>
    <row r="18" spans="1:15" x14ac:dyDescent="0.3">
      <c r="A18">
        <v>17</v>
      </c>
      <c r="B18" t="s">
        <v>50</v>
      </c>
      <c r="C18">
        <v>55</v>
      </c>
      <c r="D18" t="s">
        <v>16</v>
      </c>
      <c r="E18" t="s">
        <v>17</v>
      </c>
      <c r="F18" t="s">
        <v>26</v>
      </c>
      <c r="G18" t="s">
        <v>19</v>
      </c>
      <c r="H18">
        <v>3</v>
      </c>
      <c r="I18">
        <v>2400</v>
      </c>
      <c r="J18" s="1">
        <v>45048</v>
      </c>
      <c r="K18" s="1">
        <v>45532</v>
      </c>
      <c r="L18">
        <v>135</v>
      </c>
      <c r="M18">
        <v>-88</v>
      </c>
      <c r="N18" t="s">
        <v>47</v>
      </c>
      <c r="O18">
        <v>484</v>
      </c>
    </row>
    <row r="19" spans="1:15" x14ac:dyDescent="0.3">
      <c r="A19">
        <v>18</v>
      </c>
      <c r="B19" t="s">
        <v>51</v>
      </c>
      <c r="C19">
        <v>55</v>
      </c>
      <c r="D19" t="s">
        <v>52</v>
      </c>
      <c r="E19" t="s">
        <v>30</v>
      </c>
      <c r="F19" t="s">
        <v>26</v>
      </c>
      <c r="G19" t="s">
        <v>19</v>
      </c>
      <c r="H19">
        <v>4</v>
      </c>
      <c r="I19">
        <v>35200</v>
      </c>
      <c r="J19" s="1">
        <v>44881</v>
      </c>
      <c r="K19" s="1">
        <v>45085</v>
      </c>
      <c r="L19">
        <v>132</v>
      </c>
      <c r="M19">
        <v>359</v>
      </c>
      <c r="N19" t="s">
        <v>20</v>
      </c>
      <c r="O19">
        <v>204</v>
      </c>
    </row>
    <row r="20" spans="1:15" x14ac:dyDescent="0.3">
      <c r="A20">
        <v>19</v>
      </c>
      <c r="B20" t="s">
        <v>53</v>
      </c>
      <c r="C20">
        <v>35</v>
      </c>
      <c r="D20" t="s">
        <v>46</v>
      </c>
      <c r="E20" t="s">
        <v>36</v>
      </c>
      <c r="F20" t="s">
        <v>23</v>
      </c>
      <c r="G20" t="s">
        <v>19</v>
      </c>
      <c r="H20">
        <v>2</v>
      </c>
      <c r="I20">
        <v>32200</v>
      </c>
      <c r="J20" s="1">
        <v>44583</v>
      </c>
      <c r="K20" s="1">
        <v>44884</v>
      </c>
      <c r="L20">
        <v>290</v>
      </c>
      <c r="M20">
        <v>560</v>
      </c>
      <c r="N20" t="s">
        <v>20</v>
      </c>
      <c r="O20">
        <v>301</v>
      </c>
    </row>
    <row r="21" spans="1:15" x14ac:dyDescent="0.3">
      <c r="A21">
        <v>20</v>
      </c>
      <c r="B21" t="s">
        <v>54</v>
      </c>
      <c r="C21">
        <v>61</v>
      </c>
      <c r="D21" t="s">
        <v>40</v>
      </c>
      <c r="E21" t="s">
        <v>25</v>
      </c>
      <c r="F21" t="s">
        <v>23</v>
      </c>
      <c r="G21" t="s">
        <v>19</v>
      </c>
      <c r="H21">
        <v>1</v>
      </c>
      <c r="I21">
        <v>1900</v>
      </c>
      <c r="J21" s="1">
        <v>44631</v>
      </c>
      <c r="K21" s="1">
        <v>45094</v>
      </c>
      <c r="L21">
        <v>112</v>
      </c>
      <c r="M21">
        <v>350</v>
      </c>
      <c r="N21" t="s">
        <v>20</v>
      </c>
      <c r="O21">
        <v>463</v>
      </c>
    </row>
    <row r="22" spans="1:15" x14ac:dyDescent="0.3">
      <c r="A22">
        <v>21</v>
      </c>
      <c r="B22" t="s">
        <v>55</v>
      </c>
      <c r="C22">
        <v>63</v>
      </c>
      <c r="D22" t="s">
        <v>29</v>
      </c>
      <c r="E22" t="s">
        <v>17</v>
      </c>
      <c r="F22" t="s">
        <v>31</v>
      </c>
      <c r="G22" t="s">
        <v>19</v>
      </c>
      <c r="H22">
        <v>8</v>
      </c>
      <c r="I22">
        <v>7200</v>
      </c>
      <c r="J22" s="1">
        <v>45114</v>
      </c>
      <c r="K22" s="1">
        <v>45181</v>
      </c>
      <c r="L22">
        <v>528</v>
      </c>
      <c r="M22">
        <v>263</v>
      </c>
      <c r="N22" t="s">
        <v>20</v>
      </c>
      <c r="O22">
        <v>67</v>
      </c>
    </row>
    <row r="23" spans="1:15" x14ac:dyDescent="0.3">
      <c r="A23">
        <v>22</v>
      </c>
      <c r="B23" t="s">
        <v>56</v>
      </c>
      <c r="C23">
        <v>33</v>
      </c>
      <c r="D23" t="s">
        <v>46</v>
      </c>
      <c r="E23" t="s">
        <v>25</v>
      </c>
      <c r="F23" t="s">
        <v>26</v>
      </c>
      <c r="G23" t="s">
        <v>33</v>
      </c>
      <c r="H23">
        <v>2</v>
      </c>
      <c r="I23">
        <v>2800</v>
      </c>
      <c r="J23" s="1">
        <v>45003</v>
      </c>
      <c r="K23" s="1">
        <v>45184</v>
      </c>
      <c r="L23">
        <v>74</v>
      </c>
      <c r="M23">
        <v>260</v>
      </c>
      <c r="N23" t="s">
        <v>20</v>
      </c>
      <c r="O23">
        <v>181</v>
      </c>
    </row>
    <row r="24" spans="1:15" x14ac:dyDescent="0.3">
      <c r="A24">
        <v>23</v>
      </c>
      <c r="B24" t="s">
        <v>57</v>
      </c>
      <c r="C24">
        <v>24</v>
      </c>
      <c r="D24" t="s">
        <v>22</v>
      </c>
      <c r="E24" t="s">
        <v>36</v>
      </c>
      <c r="F24" t="s">
        <v>23</v>
      </c>
      <c r="G24" t="s">
        <v>19</v>
      </c>
      <c r="H24">
        <v>7</v>
      </c>
      <c r="I24">
        <v>112700</v>
      </c>
      <c r="J24" s="1">
        <v>44673</v>
      </c>
      <c r="K24" s="1">
        <v>44800</v>
      </c>
      <c r="L24">
        <v>854</v>
      </c>
      <c r="M24">
        <v>644</v>
      </c>
      <c r="N24" t="s">
        <v>20</v>
      </c>
      <c r="O24">
        <v>127</v>
      </c>
    </row>
    <row r="25" spans="1:15" x14ac:dyDescent="0.3">
      <c r="A25">
        <v>24</v>
      </c>
      <c r="B25" t="s">
        <v>58</v>
      </c>
      <c r="C25">
        <v>32</v>
      </c>
      <c r="D25" t="s">
        <v>40</v>
      </c>
      <c r="E25" t="s">
        <v>36</v>
      </c>
      <c r="F25" t="s">
        <v>31</v>
      </c>
      <c r="G25" t="s">
        <v>33</v>
      </c>
      <c r="H25">
        <v>5</v>
      </c>
      <c r="I25">
        <v>101000</v>
      </c>
      <c r="J25" s="1">
        <v>44817</v>
      </c>
      <c r="K25" s="1">
        <v>45264</v>
      </c>
      <c r="L25">
        <v>170</v>
      </c>
      <c r="M25">
        <v>180</v>
      </c>
      <c r="N25" t="s">
        <v>47</v>
      </c>
      <c r="O25">
        <v>447</v>
      </c>
    </row>
    <row r="26" spans="1:15" x14ac:dyDescent="0.3">
      <c r="A26">
        <v>25</v>
      </c>
      <c r="B26" t="s">
        <v>59</v>
      </c>
      <c r="C26">
        <v>21</v>
      </c>
      <c r="D26" t="s">
        <v>46</v>
      </c>
      <c r="E26" t="s">
        <v>17</v>
      </c>
      <c r="F26" t="s">
        <v>23</v>
      </c>
      <c r="G26" t="s">
        <v>27</v>
      </c>
      <c r="H26">
        <v>2</v>
      </c>
      <c r="I26">
        <v>2000</v>
      </c>
      <c r="J26" s="1">
        <v>44732</v>
      </c>
      <c r="K26" s="1">
        <v>44940</v>
      </c>
      <c r="L26">
        <v>282</v>
      </c>
      <c r="M26">
        <v>504</v>
      </c>
      <c r="N26" t="s">
        <v>20</v>
      </c>
      <c r="O26">
        <v>208</v>
      </c>
    </row>
    <row r="27" spans="1:15" x14ac:dyDescent="0.3">
      <c r="A27">
        <v>26</v>
      </c>
      <c r="B27" t="s">
        <v>60</v>
      </c>
      <c r="C27">
        <v>31</v>
      </c>
      <c r="D27" t="s">
        <v>46</v>
      </c>
      <c r="E27" t="s">
        <v>25</v>
      </c>
      <c r="F27" t="s">
        <v>26</v>
      </c>
      <c r="G27" t="s">
        <v>19</v>
      </c>
      <c r="H27">
        <v>7</v>
      </c>
      <c r="I27">
        <v>7000</v>
      </c>
      <c r="J27" s="1">
        <v>44961</v>
      </c>
      <c r="K27" s="1">
        <v>45096</v>
      </c>
      <c r="L27">
        <v>273</v>
      </c>
      <c r="M27">
        <v>348</v>
      </c>
      <c r="N27" t="s">
        <v>20</v>
      </c>
      <c r="O27">
        <v>135</v>
      </c>
    </row>
    <row r="28" spans="1:15" x14ac:dyDescent="0.3">
      <c r="A28">
        <v>27</v>
      </c>
      <c r="B28" t="s">
        <v>61</v>
      </c>
      <c r="C28">
        <v>33</v>
      </c>
      <c r="D28" t="s">
        <v>38</v>
      </c>
      <c r="E28" t="s">
        <v>36</v>
      </c>
      <c r="F28" t="s">
        <v>26</v>
      </c>
      <c r="G28" t="s">
        <v>19</v>
      </c>
      <c r="H28">
        <v>5</v>
      </c>
      <c r="I28">
        <v>60500</v>
      </c>
      <c r="J28" s="1">
        <v>44621</v>
      </c>
      <c r="K28" s="1">
        <v>44917</v>
      </c>
      <c r="L28">
        <v>220</v>
      </c>
      <c r="M28">
        <v>527</v>
      </c>
      <c r="N28" t="s">
        <v>20</v>
      </c>
      <c r="O28">
        <v>296</v>
      </c>
    </row>
    <row r="29" spans="1:15" x14ac:dyDescent="0.3">
      <c r="A29">
        <v>28</v>
      </c>
      <c r="B29" t="s">
        <v>62</v>
      </c>
      <c r="C29">
        <v>58</v>
      </c>
      <c r="D29" t="s">
        <v>63</v>
      </c>
      <c r="E29" t="s">
        <v>30</v>
      </c>
      <c r="F29" t="s">
        <v>23</v>
      </c>
      <c r="G29" t="s">
        <v>19</v>
      </c>
      <c r="H29">
        <v>8</v>
      </c>
      <c r="I29">
        <v>56800</v>
      </c>
      <c r="J29" s="1">
        <v>45105</v>
      </c>
      <c r="K29" s="1">
        <v>45185</v>
      </c>
      <c r="L29">
        <v>904</v>
      </c>
      <c r="M29">
        <v>259</v>
      </c>
      <c r="N29" t="s">
        <v>20</v>
      </c>
      <c r="O29">
        <v>80</v>
      </c>
    </row>
    <row r="30" spans="1:15" x14ac:dyDescent="0.3">
      <c r="A30">
        <v>29</v>
      </c>
      <c r="B30" t="s">
        <v>64</v>
      </c>
      <c r="C30">
        <v>25</v>
      </c>
      <c r="D30" t="s">
        <v>16</v>
      </c>
      <c r="E30" t="s">
        <v>25</v>
      </c>
      <c r="F30" t="s">
        <v>23</v>
      </c>
      <c r="G30" t="s">
        <v>27</v>
      </c>
      <c r="H30">
        <v>4</v>
      </c>
      <c r="I30">
        <v>10800</v>
      </c>
      <c r="J30" s="1">
        <v>44684</v>
      </c>
      <c r="K30" s="1">
        <v>45166</v>
      </c>
      <c r="L30">
        <v>584</v>
      </c>
      <c r="M30">
        <v>278</v>
      </c>
      <c r="N30" t="s">
        <v>20</v>
      </c>
      <c r="O30">
        <v>482</v>
      </c>
    </row>
    <row r="31" spans="1:15" x14ac:dyDescent="0.3">
      <c r="A31">
        <v>30</v>
      </c>
      <c r="B31" t="s">
        <v>65</v>
      </c>
      <c r="C31">
        <v>63</v>
      </c>
      <c r="D31" t="s">
        <v>40</v>
      </c>
      <c r="E31" t="s">
        <v>17</v>
      </c>
      <c r="F31" t="s">
        <v>23</v>
      </c>
      <c r="G31" t="s">
        <v>33</v>
      </c>
      <c r="H31">
        <v>10</v>
      </c>
      <c r="I31">
        <v>17000</v>
      </c>
      <c r="J31" s="1">
        <v>45097</v>
      </c>
      <c r="K31" s="1">
        <v>45258</v>
      </c>
      <c r="L31">
        <v>1260</v>
      </c>
      <c r="M31">
        <v>186</v>
      </c>
      <c r="N31" t="s">
        <v>20</v>
      </c>
      <c r="O31">
        <v>161</v>
      </c>
    </row>
    <row r="32" spans="1:15" x14ac:dyDescent="0.3">
      <c r="A32">
        <v>31</v>
      </c>
      <c r="B32" t="s">
        <v>66</v>
      </c>
      <c r="C32">
        <v>46</v>
      </c>
      <c r="D32" t="s">
        <v>40</v>
      </c>
      <c r="E32" t="s">
        <v>30</v>
      </c>
      <c r="F32" t="s">
        <v>31</v>
      </c>
      <c r="G32" t="s">
        <v>19</v>
      </c>
      <c r="H32">
        <v>3</v>
      </c>
      <c r="I32">
        <v>25500</v>
      </c>
      <c r="J32" s="1">
        <v>44869</v>
      </c>
      <c r="K32" s="1">
        <v>45103</v>
      </c>
      <c r="L32">
        <v>150</v>
      </c>
      <c r="M32">
        <v>341</v>
      </c>
      <c r="N32" t="s">
        <v>20</v>
      </c>
      <c r="O32">
        <v>234</v>
      </c>
    </row>
    <row r="33" spans="1:15" x14ac:dyDescent="0.3">
      <c r="A33">
        <v>32</v>
      </c>
      <c r="B33" t="s">
        <v>67</v>
      </c>
      <c r="C33">
        <v>57</v>
      </c>
      <c r="D33" t="s">
        <v>16</v>
      </c>
      <c r="E33" t="s">
        <v>17</v>
      </c>
      <c r="F33" t="s">
        <v>26</v>
      </c>
      <c r="G33" t="s">
        <v>27</v>
      </c>
      <c r="H33">
        <v>2</v>
      </c>
      <c r="I33">
        <v>1200</v>
      </c>
      <c r="J33" s="1">
        <v>45112</v>
      </c>
      <c r="K33" s="1">
        <v>45221</v>
      </c>
      <c r="L33">
        <v>84</v>
      </c>
      <c r="M33">
        <v>223</v>
      </c>
      <c r="N33" t="s">
        <v>20</v>
      </c>
      <c r="O33">
        <v>109</v>
      </c>
    </row>
    <row r="34" spans="1:15" x14ac:dyDescent="0.3">
      <c r="A34">
        <v>33</v>
      </c>
      <c r="B34" t="s">
        <v>68</v>
      </c>
      <c r="C34">
        <v>36</v>
      </c>
      <c r="D34" t="s">
        <v>38</v>
      </c>
      <c r="E34" t="s">
        <v>25</v>
      </c>
      <c r="F34" t="s">
        <v>18</v>
      </c>
      <c r="G34" t="s">
        <v>19</v>
      </c>
      <c r="H34">
        <v>6</v>
      </c>
      <c r="I34">
        <v>13200</v>
      </c>
      <c r="J34" s="1">
        <v>44723</v>
      </c>
      <c r="K34" s="1">
        <v>44947</v>
      </c>
      <c r="L34">
        <v>3744</v>
      </c>
      <c r="M34">
        <v>497</v>
      </c>
      <c r="N34" t="s">
        <v>20</v>
      </c>
      <c r="O34">
        <v>224</v>
      </c>
    </row>
    <row r="35" spans="1:15" x14ac:dyDescent="0.3">
      <c r="A35">
        <v>34</v>
      </c>
      <c r="B35" t="s">
        <v>69</v>
      </c>
      <c r="C35">
        <v>29</v>
      </c>
      <c r="D35" t="s">
        <v>38</v>
      </c>
      <c r="E35" t="s">
        <v>17</v>
      </c>
      <c r="F35" t="s">
        <v>18</v>
      </c>
      <c r="G35" t="s">
        <v>19</v>
      </c>
      <c r="H35">
        <v>5</v>
      </c>
      <c r="I35">
        <v>3500</v>
      </c>
      <c r="J35" s="1">
        <v>44671</v>
      </c>
      <c r="K35" s="1">
        <v>45051</v>
      </c>
      <c r="L35">
        <v>3125</v>
      </c>
      <c r="M35">
        <v>393</v>
      </c>
      <c r="N35" t="s">
        <v>20</v>
      </c>
      <c r="O35">
        <v>380</v>
      </c>
    </row>
    <row r="36" spans="1:15" x14ac:dyDescent="0.3">
      <c r="A36">
        <v>35</v>
      </c>
      <c r="B36" t="s">
        <v>70</v>
      </c>
      <c r="C36">
        <v>34</v>
      </c>
      <c r="D36" t="s">
        <v>52</v>
      </c>
      <c r="E36" t="s">
        <v>30</v>
      </c>
      <c r="F36" t="s">
        <v>18</v>
      </c>
      <c r="G36" t="s">
        <v>27</v>
      </c>
      <c r="H36">
        <v>6</v>
      </c>
      <c r="I36">
        <v>28200</v>
      </c>
      <c r="J36" s="1">
        <v>44832</v>
      </c>
      <c r="K36" s="1">
        <v>45090</v>
      </c>
      <c r="L36">
        <v>3726</v>
      </c>
      <c r="M36">
        <v>354</v>
      </c>
      <c r="N36" t="s">
        <v>20</v>
      </c>
      <c r="O36">
        <v>258</v>
      </c>
    </row>
    <row r="37" spans="1:15" x14ac:dyDescent="0.3">
      <c r="A37">
        <v>36</v>
      </c>
      <c r="B37" t="s">
        <v>71</v>
      </c>
      <c r="C37">
        <v>38</v>
      </c>
      <c r="D37" t="s">
        <v>38</v>
      </c>
      <c r="E37" t="s">
        <v>17</v>
      </c>
      <c r="F37" t="s">
        <v>23</v>
      </c>
      <c r="G37" t="s">
        <v>33</v>
      </c>
      <c r="H37">
        <v>1</v>
      </c>
      <c r="I37">
        <v>500</v>
      </c>
      <c r="J37" s="1">
        <v>44903</v>
      </c>
      <c r="K37" s="1">
        <v>45297</v>
      </c>
      <c r="L37">
        <v>118</v>
      </c>
      <c r="M37">
        <v>147</v>
      </c>
      <c r="N37" t="s">
        <v>47</v>
      </c>
      <c r="O37">
        <v>394</v>
      </c>
    </row>
    <row r="38" spans="1:15" x14ac:dyDescent="0.3">
      <c r="A38">
        <v>37</v>
      </c>
      <c r="B38" t="s">
        <v>72</v>
      </c>
      <c r="C38">
        <v>48</v>
      </c>
      <c r="D38" t="s">
        <v>38</v>
      </c>
      <c r="E38" t="s">
        <v>25</v>
      </c>
      <c r="F38" t="s">
        <v>26</v>
      </c>
      <c r="G38" t="s">
        <v>27</v>
      </c>
      <c r="H38">
        <v>9</v>
      </c>
      <c r="I38">
        <v>9000</v>
      </c>
      <c r="J38" s="1">
        <v>44676</v>
      </c>
      <c r="K38" s="1">
        <v>44714</v>
      </c>
      <c r="L38">
        <v>171</v>
      </c>
      <c r="M38">
        <v>730</v>
      </c>
      <c r="N38" t="s">
        <v>20</v>
      </c>
      <c r="O38">
        <v>38</v>
      </c>
    </row>
    <row r="39" spans="1:15" x14ac:dyDescent="0.3">
      <c r="A39">
        <v>38</v>
      </c>
      <c r="B39" t="s">
        <v>73</v>
      </c>
      <c r="C39">
        <v>29</v>
      </c>
      <c r="D39" t="s">
        <v>63</v>
      </c>
      <c r="E39" t="s">
        <v>30</v>
      </c>
      <c r="F39" t="s">
        <v>31</v>
      </c>
      <c r="G39" t="s">
        <v>33</v>
      </c>
      <c r="H39">
        <v>1</v>
      </c>
      <c r="I39">
        <v>5500</v>
      </c>
      <c r="J39" s="1">
        <v>44935</v>
      </c>
      <c r="K39" s="1">
        <v>45395</v>
      </c>
      <c r="L39">
        <v>32</v>
      </c>
      <c r="M39">
        <v>49</v>
      </c>
      <c r="N39" t="s">
        <v>47</v>
      </c>
      <c r="O39">
        <v>460</v>
      </c>
    </row>
    <row r="40" spans="1:15" x14ac:dyDescent="0.3">
      <c r="A40">
        <v>39</v>
      </c>
      <c r="B40" t="s">
        <v>74</v>
      </c>
      <c r="C40">
        <v>43</v>
      </c>
      <c r="D40" t="s">
        <v>29</v>
      </c>
      <c r="E40" t="s">
        <v>25</v>
      </c>
      <c r="F40" t="s">
        <v>31</v>
      </c>
      <c r="G40" t="s">
        <v>19</v>
      </c>
      <c r="H40">
        <v>9</v>
      </c>
      <c r="I40">
        <v>41400</v>
      </c>
      <c r="J40" s="1">
        <v>44978</v>
      </c>
      <c r="K40" s="1">
        <v>45476</v>
      </c>
      <c r="L40">
        <v>621</v>
      </c>
      <c r="M40">
        <v>-32</v>
      </c>
      <c r="N40" t="s">
        <v>47</v>
      </c>
      <c r="O40">
        <v>498</v>
      </c>
    </row>
    <row r="41" spans="1:15" x14ac:dyDescent="0.3">
      <c r="A41">
        <v>40</v>
      </c>
      <c r="B41" t="s">
        <v>75</v>
      </c>
      <c r="C41">
        <v>47</v>
      </c>
      <c r="D41" t="s">
        <v>52</v>
      </c>
      <c r="E41" t="s">
        <v>25</v>
      </c>
      <c r="F41" t="s">
        <v>31</v>
      </c>
      <c r="G41" t="s">
        <v>19</v>
      </c>
      <c r="H41">
        <v>1</v>
      </c>
      <c r="I41">
        <v>1700</v>
      </c>
      <c r="J41" s="1">
        <v>44902</v>
      </c>
      <c r="K41" s="1">
        <v>45302</v>
      </c>
      <c r="L41">
        <v>56</v>
      </c>
      <c r="M41">
        <v>142</v>
      </c>
      <c r="N41" t="s">
        <v>47</v>
      </c>
      <c r="O41">
        <v>400</v>
      </c>
    </row>
    <row r="42" spans="1:15" x14ac:dyDescent="0.3">
      <c r="A42">
        <v>41</v>
      </c>
      <c r="B42" t="s">
        <v>76</v>
      </c>
      <c r="C42">
        <v>45</v>
      </c>
      <c r="D42" t="s">
        <v>40</v>
      </c>
      <c r="E42" t="s">
        <v>30</v>
      </c>
      <c r="F42" t="s">
        <v>31</v>
      </c>
      <c r="G42" t="s">
        <v>19</v>
      </c>
      <c r="H42">
        <v>1</v>
      </c>
      <c r="I42">
        <v>6900</v>
      </c>
      <c r="J42" s="1">
        <v>44789</v>
      </c>
      <c r="K42" s="1">
        <v>44891</v>
      </c>
      <c r="L42">
        <v>59</v>
      </c>
      <c r="M42">
        <v>553</v>
      </c>
      <c r="N42" t="s">
        <v>20</v>
      </c>
      <c r="O42">
        <v>102</v>
      </c>
    </row>
    <row r="43" spans="1:15" x14ac:dyDescent="0.3">
      <c r="A43">
        <v>42</v>
      </c>
      <c r="B43" t="s">
        <v>77</v>
      </c>
      <c r="C43">
        <v>22</v>
      </c>
      <c r="D43" t="s">
        <v>29</v>
      </c>
      <c r="E43" t="s">
        <v>30</v>
      </c>
      <c r="F43" t="s">
        <v>31</v>
      </c>
      <c r="G43" t="s">
        <v>19</v>
      </c>
      <c r="H43">
        <v>4</v>
      </c>
      <c r="I43">
        <v>25200</v>
      </c>
      <c r="J43" s="1">
        <v>44898</v>
      </c>
      <c r="K43" s="1">
        <v>45040</v>
      </c>
      <c r="L43">
        <v>136</v>
      </c>
      <c r="M43">
        <v>404</v>
      </c>
      <c r="N43" t="s">
        <v>20</v>
      </c>
      <c r="O43">
        <v>142</v>
      </c>
    </row>
    <row r="44" spans="1:15" x14ac:dyDescent="0.3">
      <c r="A44">
        <v>43</v>
      </c>
      <c r="B44" t="s">
        <v>78</v>
      </c>
      <c r="C44">
        <v>42</v>
      </c>
      <c r="D44" t="s">
        <v>38</v>
      </c>
      <c r="E44" t="s">
        <v>30</v>
      </c>
      <c r="F44" t="s">
        <v>26</v>
      </c>
      <c r="G44" t="s">
        <v>27</v>
      </c>
      <c r="H44">
        <v>1</v>
      </c>
      <c r="I44">
        <v>3900</v>
      </c>
      <c r="J44" s="1">
        <v>44829</v>
      </c>
      <c r="K44" s="1">
        <v>44920</v>
      </c>
      <c r="L44">
        <v>47</v>
      </c>
      <c r="M44">
        <v>524</v>
      </c>
      <c r="N44" t="s">
        <v>20</v>
      </c>
      <c r="O44">
        <v>91</v>
      </c>
    </row>
    <row r="45" spans="1:15" x14ac:dyDescent="0.3">
      <c r="A45">
        <v>44</v>
      </c>
      <c r="B45" t="s">
        <v>79</v>
      </c>
      <c r="C45">
        <v>48</v>
      </c>
      <c r="D45" t="s">
        <v>38</v>
      </c>
      <c r="E45" t="s">
        <v>17</v>
      </c>
      <c r="F45" t="s">
        <v>23</v>
      </c>
      <c r="G45" t="s">
        <v>27</v>
      </c>
      <c r="H45">
        <v>6</v>
      </c>
      <c r="I45">
        <v>12000</v>
      </c>
      <c r="J45" s="1">
        <v>44883</v>
      </c>
      <c r="K45" s="1">
        <v>45106</v>
      </c>
      <c r="L45">
        <v>888</v>
      </c>
      <c r="M45">
        <v>338</v>
      </c>
      <c r="N45" t="s">
        <v>20</v>
      </c>
      <c r="O45">
        <v>223</v>
      </c>
    </row>
    <row r="46" spans="1:15" x14ac:dyDescent="0.3">
      <c r="A46">
        <v>45</v>
      </c>
      <c r="B46" t="s">
        <v>80</v>
      </c>
      <c r="C46">
        <v>23</v>
      </c>
      <c r="D46" t="s">
        <v>16</v>
      </c>
      <c r="E46" t="s">
        <v>36</v>
      </c>
      <c r="F46" t="s">
        <v>31</v>
      </c>
      <c r="G46" t="s">
        <v>19</v>
      </c>
      <c r="H46">
        <v>7</v>
      </c>
      <c r="I46">
        <v>35700</v>
      </c>
      <c r="J46" s="1">
        <v>45094</v>
      </c>
      <c r="K46" s="1">
        <v>45567</v>
      </c>
      <c r="L46">
        <v>448</v>
      </c>
      <c r="M46">
        <v>-123</v>
      </c>
      <c r="N46" t="s">
        <v>47</v>
      </c>
      <c r="O46">
        <v>473</v>
      </c>
    </row>
    <row r="47" spans="1:15" x14ac:dyDescent="0.3">
      <c r="A47">
        <v>46</v>
      </c>
      <c r="B47" t="s">
        <v>81</v>
      </c>
      <c r="C47">
        <v>63</v>
      </c>
      <c r="D47" t="s">
        <v>40</v>
      </c>
      <c r="E47" t="s">
        <v>30</v>
      </c>
      <c r="F47" t="s">
        <v>26</v>
      </c>
      <c r="G47" t="s">
        <v>19</v>
      </c>
      <c r="H47">
        <v>6</v>
      </c>
      <c r="I47">
        <v>48600</v>
      </c>
      <c r="J47" s="1">
        <v>44883</v>
      </c>
      <c r="K47" s="1">
        <v>45222</v>
      </c>
      <c r="L47">
        <v>102</v>
      </c>
      <c r="M47">
        <v>222</v>
      </c>
      <c r="N47" t="s">
        <v>20</v>
      </c>
      <c r="O47">
        <v>339</v>
      </c>
    </row>
    <row r="48" spans="1:15" x14ac:dyDescent="0.3">
      <c r="A48">
        <v>47</v>
      </c>
      <c r="B48" t="s">
        <v>82</v>
      </c>
      <c r="C48">
        <v>46</v>
      </c>
      <c r="D48" t="s">
        <v>38</v>
      </c>
      <c r="E48" t="s">
        <v>30</v>
      </c>
      <c r="F48" t="s">
        <v>26</v>
      </c>
      <c r="G48" t="s">
        <v>19</v>
      </c>
      <c r="H48">
        <v>5</v>
      </c>
      <c r="I48">
        <v>37500</v>
      </c>
      <c r="J48" s="1">
        <v>44692</v>
      </c>
      <c r="K48" s="1">
        <v>44790</v>
      </c>
      <c r="L48">
        <v>180</v>
      </c>
      <c r="M48">
        <v>654</v>
      </c>
      <c r="N48" t="s">
        <v>20</v>
      </c>
      <c r="O48">
        <v>98</v>
      </c>
    </row>
    <row r="49" spans="1:15" x14ac:dyDescent="0.3">
      <c r="A49">
        <v>48</v>
      </c>
      <c r="B49" t="s">
        <v>83</v>
      </c>
      <c r="C49">
        <v>56</v>
      </c>
      <c r="D49" t="s">
        <v>22</v>
      </c>
      <c r="E49" t="s">
        <v>25</v>
      </c>
      <c r="F49" t="s">
        <v>18</v>
      </c>
      <c r="G49" t="s">
        <v>33</v>
      </c>
      <c r="H49">
        <v>1</v>
      </c>
      <c r="I49">
        <v>2200</v>
      </c>
      <c r="J49" s="1">
        <v>44855</v>
      </c>
      <c r="K49" s="1">
        <v>44962</v>
      </c>
      <c r="L49">
        <v>617</v>
      </c>
      <c r="M49">
        <v>482</v>
      </c>
      <c r="N49" t="s">
        <v>20</v>
      </c>
      <c r="O49">
        <v>107</v>
      </c>
    </row>
    <row r="50" spans="1:15" x14ac:dyDescent="0.3">
      <c r="A50">
        <v>49</v>
      </c>
      <c r="B50" t="s">
        <v>84</v>
      </c>
      <c r="C50">
        <v>64</v>
      </c>
      <c r="D50" t="s">
        <v>29</v>
      </c>
      <c r="E50" t="s">
        <v>36</v>
      </c>
      <c r="F50" t="s">
        <v>26</v>
      </c>
      <c r="G50" t="s">
        <v>33</v>
      </c>
      <c r="H50">
        <v>4</v>
      </c>
      <c r="I50">
        <v>87200</v>
      </c>
      <c r="J50" s="1">
        <v>45046</v>
      </c>
      <c r="K50" s="1">
        <v>45452</v>
      </c>
      <c r="L50">
        <v>80</v>
      </c>
      <c r="M50">
        <v>-8</v>
      </c>
      <c r="N50" t="s">
        <v>47</v>
      </c>
      <c r="O50">
        <v>406</v>
      </c>
    </row>
    <row r="51" spans="1:15" x14ac:dyDescent="0.3">
      <c r="A51">
        <v>50</v>
      </c>
      <c r="B51" t="s">
        <v>85</v>
      </c>
      <c r="C51">
        <v>36</v>
      </c>
      <c r="D51" t="s">
        <v>16</v>
      </c>
      <c r="E51" t="s">
        <v>30</v>
      </c>
      <c r="F51" t="s">
        <v>18</v>
      </c>
      <c r="G51" t="s">
        <v>19</v>
      </c>
      <c r="H51">
        <v>5</v>
      </c>
      <c r="I51">
        <v>24000</v>
      </c>
      <c r="J51" s="1">
        <v>44765</v>
      </c>
      <c r="K51" s="1">
        <v>44840</v>
      </c>
      <c r="L51">
        <v>2955</v>
      </c>
      <c r="M51">
        <v>604</v>
      </c>
      <c r="N51" t="s">
        <v>20</v>
      </c>
      <c r="O51">
        <v>75</v>
      </c>
    </row>
    <row r="52" spans="1:15" x14ac:dyDescent="0.3">
      <c r="A52">
        <v>51</v>
      </c>
      <c r="B52" t="s">
        <v>86</v>
      </c>
      <c r="C52">
        <v>25</v>
      </c>
      <c r="D52" t="s">
        <v>63</v>
      </c>
      <c r="E52" t="s">
        <v>25</v>
      </c>
      <c r="F52" t="s">
        <v>26</v>
      </c>
      <c r="G52" t="s">
        <v>27</v>
      </c>
      <c r="H52">
        <v>8</v>
      </c>
      <c r="I52">
        <v>21600</v>
      </c>
      <c r="J52" s="1">
        <v>45151</v>
      </c>
      <c r="K52" s="1">
        <v>45250</v>
      </c>
      <c r="L52">
        <v>272</v>
      </c>
      <c r="M52">
        <v>194</v>
      </c>
      <c r="N52" t="s">
        <v>20</v>
      </c>
      <c r="O52">
        <v>99</v>
      </c>
    </row>
    <row r="53" spans="1:15" x14ac:dyDescent="0.3">
      <c r="A53">
        <v>52</v>
      </c>
      <c r="B53" t="s">
        <v>87</v>
      </c>
      <c r="C53">
        <v>62</v>
      </c>
      <c r="D53" t="s">
        <v>46</v>
      </c>
      <c r="E53" t="s">
        <v>36</v>
      </c>
      <c r="F53" t="s">
        <v>31</v>
      </c>
      <c r="G53" t="s">
        <v>19</v>
      </c>
      <c r="H53">
        <v>1</v>
      </c>
      <c r="I53">
        <v>8500</v>
      </c>
      <c r="J53" s="1">
        <v>44997</v>
      </c>
      <c r="K53" s="1">
        <v>45109</v>
      </c>
      <c r="L53">
        <v>41</v>
      </c>
      <c r="M53">
        <v>335</v>
      </c>
      <c r="N53" t="s">
        <v>20</v>
      </c>
      <c r="O53">
        <v>112</v>
      </c>
    </row>
    <row r="54" spans="1:15" x14ac:dyDescent="0.3">
      <c r="A54">
        <v>53</v>
      </c>
      <c r="B54" t="s">
        <v>88</v>
      </c>
      <c r="C54">
        <v>50</v>
      </c>
      <c r="D54" t="s">
        <v>46</v>
      </c>
      <c r="E54" t="s">
        <v>17</v>
      </c>
      <c r="F54" t="s">
        <v>31</v>
      </c>
      <c r="G54" t="s">
        <v>19</v>
      </c>
      <c r="H54">
        <v>3</v>
      </c>
      <c r="I54">
        <v>4500</v>
      </c>
      <c r="J54" s="1">
        <v>45105</v>
      </c>
      <c r="K54" s="1">
        <v>45391</v>
      </c>
      <c r="L54">
        <v>204</v>
      </c>
      <c r="M54">
        <v>53</v>
      </c>
      <c r="N54" t="s">
        <v>47</v>
      </c>
      <c r="O54">
        <v>286</v>
      </c>
    </row>
    <row r="55" spans="1:15" x14ac:dyDescent="0.3">
      <c r="A55">
        <v>54</v>
      </c>
      <c r="B55" t="s">
        <v>89</v>
      </c>
      <c r="C55">
        <v>49</v>
      </c>
      <c r="D55" t="s">
        <v>29</v>
      </c>
      <c r="E55" t="s">
        <v>36</v>
      </c>
      <c r="F55" t="s">
        <v>26</v>
      </c>
      <c r="G55" t="s">
        <v>27</v>
      </c>
      <c r="H55">
        <v>3</v>
      </c>
      <c r="I55">
        <v>61800</v>
      </c>
      <c r="J55" s="1">
        <v>45022</v>
      </c>
      <c r="K55" s="1">
        <v>45154</v>
      </c>
      <c r="L55">
        <v>75</v>
      </c>
      <c r="M55">
        <v>290</v>
      </c>
      <c r="N55" t="s">
        <v>20</v>
      </c>
      <c r="O55">
        <v>132</v>
      </c>
    </row>
    <row r="56" spans="1:15" x14ac:dyDescent="0.3">
      <c r="A56">
        <v>55</v>
      </c>
      <c r="B56" t="s">
        <v>90</v>
      </c>
      <c r="C56">
        <v>49</v>
      </c>
      <c r="D56" t="s">
        <v>38</v>
      </c>
      <c r="E56" t="s">
        <v>36</v>
      </c>
      <c r="F56" t="s">
        <v>31</v>
      </c>
      <c r="G56" t="s">
        <v>19</v>
      </c>
      <c r="H56">
        <v>2</v>
      </c>
      <c r="I56">
        <v>28800</v>
      </c>
      <c r="J56" s="1">
        <v>44802</v>
      </c>
      <c r="K56" s="1">
        <v>44941</v>
      </c>
      <c r="L56">
        <v>102</v>
      </c>
      <c r="M56">
        <v>503</v>
      </c>
      <c r="N56" t="s">
        <v>20</v>
      </c>
      <c r="O56">
        <v>139</v>
      </c>
    </row>
    <row r="57" spans="1:15" x14ac:dyDescent="0.3">
      <c r="A57">
        <v>56</v>
      </c>
      <c r="B57" t="s">
        <v>91</v>
      </c>
      <c r="C57">
        <v>35</v>
      </c>
      <c r="D57" t="s">
        <v>29</v>
      </c>
      <c r="E57" t="s">
        <v>17</v>
      </c>
      <c r="F57" t="s">
        <v>31</v>
      </c>
      <c r="G57" t="s">
        <v>19</v>
      </c>
      <c r="H57">
        <v>7</v>
      </c>
      <c r="I57">
        <v>13300</v>
      </c>
      <c r="J57" s="1">
        <v>44718</v>
      </c>
      <c r="K57" s="1">
        <v>45079</v>
      </c>
      <c r="L57">
        <v>301</v>
      </c>
      <c r="M57">
        <v>365</v>
      </c>
      <c r="N57" t="s">
        <v>20</v>
      </c>
      <c r="O57">
        <v>361</v>
      </c>
    </row>
    <row r="58" spans="1:15" x14ac:dyDescent="0.3">
      <c r="A58">
        <v>57</v>
      </c>
      <c r="B58" t="s">
        <v>92</v>
      </c>
      <c r="C58">
        <v>55</v>
      </c>
      <c r="D58" t="s">
        <v>16</v>
      </c>
      <c r="E58" t="s">
        <v>36</v>
      </c>
      <c r="F58" t="s">
        <v>26</v>
      </c>
      <c r="G58" t="s">
        <v>19</v>
      </c>
      <c r="H58">
        <v>8</v>
      </c>
      <c r="I58">
        <v>148800</v>
      </c>
      <c r="J58" s="1">
        <v>44625</v>
      </c>
      <c r="K58" s="1">
        <v>44730</v>
      </c>
      <c r="L58">
        <v>288</v>
      </c>
      <c r="M58">
        <v>714</v>
      </c>
      <c r="N58" t="s">
        <v>20</v>
      </c>
      <c r="O58">
        <v>105</v>
      </c>
    </row>
    <row r="59" spans="1:15" x14ac:dyDescent="0.3">
      <c r="A59">
        <v>58</v>
      </c>
      <c r="B59" t="s">
        <v>93</v>
      </c>
      <c r="C59">
        <v>21</v>
      </c>
      <c r="D59" t="s">
        <v>22</v>
      </c>
      <c r="E59" t="s">
        <v>17</v>
      </c>
      <c r="F59" t="s">
        <v>26</v>
      </c>
      <c r="G59" t="s">
        <v>33</v>
      </c>
      <c r="H59">
        <v>6</v>
      </c>
      <c r="I59">
        <v>6600</v>
      </c>
      <c r="J59" s="1">
        <v>44961</v>
      </c>
      <c r="K59" s="1">
        <v>45397</v>
      </c>
      <c r="L59">
        <v>216</v>
      </c>
      <c r="M59">
        <v>47</v>
      </c>
      <c r="N59" t="s">
        <v>47</v>
      </c>
      <c r="O59">
        <v>436</v>
      </c>
    </row>
    <row r="60" spans="1:15" x14ac:dyDescent="0.3">
      <c r="A60">
        <v>59</v>
      </c>
      <c r="B60" t="s">
        <v>94</v>
      </c>
      <c r="C60">
        <v>48</v>
      </c>
      <c r="D60" t="s">
        <v>40</v>
      </c>
      <c r="E60" t="s">
        <v>36</v>
      </c>
      <c r="F60" t="s">
        <v>31</v>
      </c>
      <c r="G60" t="s">
        <v>19</v>
      </c>
      <c r="H60">
        <v>8</v>
      </c>
      <c r="I60">
        <v>48000</v>
      </c>
      <c r="J60" s="1">
        <v>44960</v>
      </c>
      <c r="K60" s="1">
        <v>45132</v>
      </c>
      <c r="L60">
        <v>440</v>
      </c>
      <c r="M60">
        <v>312</v>
      </c>
      <c r="N60" t="s">
        <v>20</v>
      </c>
      <c r="O60">
        <v>172</v>
      </c>
    </row>
    <row r="61" spans="1:15" x14ac:dyDescent="0.3">
      <c r="A61">
        <v>60</v>
      </c>
      <c r="B61" t="s">
        <v>95</v>
      </c>
      <c r="C61">
        <v>55</v>
      </c>
      <c r="D61" t="s">
        <v>52</v>
      </c>
      <c r="E61" t="s">
        <v>36</v>
      </c>
      <c r="F61" t="s">
        <v>31</v>
      </c>
      <c r="G61" t="s">
        <v>27</v>
      </c>
      <c r="H61">
        <v>1</v>
      </c>
      <c r="I61">
        <v>17900</v>
      </c>
      <c r="J61" s="1">
        <v>45139</v>
      </c>
      <c r="K61" s="1">
        <v>45478</v>
      </c>
      <c r="L61">
        <v>31</v>
      </c>
      <c r="M61">
        <v>-34</v>
      </c>
      <c r="N61" t="s">
        <v>47</v>
      </c>
      <c r="O61">
        <v>339</v>
      </c>
    </row>
    <row r="62" spans="1:15" x14ac:dyDescent="0.3">
      <c r="A62">
        <v>61</v>
      </c>
      <c r="B62" t="s">
        <v>96</v>
      </c>
      <c r="C62">
        <v>32</v>
      </c>
      <c r="D62" t="s">
        <v>16</v>
      </c>
      <c r="E62" t="s">
        <v>36</v>
      </c>
      <c r="F62" t="s">
        <v>31</v>
      </c>
      <c r="G62" t="s">
        <v>33</v>
      </c>
      <c r="H62">
        <v>1</v>
      </c>
      <c r="I62">
        <v>13500</v>
      </c>
      <c r="J62" s="1">
        <v>44950</v>
      </c>
      <c r="K62" s="1">
        <v>45117</v>
      </c>
      <c r="L62">
        <v>43</v>
      </c>
      <c r="M62">
        <v>327</v>
      </c>
      <c r="N62" t="s">
        <v>20</v>
      </c>
      <c r="O62">
        <v>167</v>
      </c>
    </row>
    <row r="63" spans="1:15" x14ac:dyDescent="0.3">
      <c r="A63">
        <v>62</v>
      </c>
      <c r="B63" t="s">
        <v>97</v>
      </c>
      <c r="C63">
        <v>38</v>
      </c>
      <c r="D63" t="s">
        <v>46</v>
      </c>
      <c r="E63" t="s">
        <v>30</v>
      </c>
      <c r="F63" t="s">
        <v>18</v>
      </c>
      <c r="G63" t="s">
        <v>33</v>
      </c>
      <c r="H63">
        <v>7</v>
      </c>
      <c r="I63">
        <v>35700</v>
      </c>
      <c r="J63" s="1">
        <v>44645</v>
      </c>
      <c r="K63" s="1">
        <v>44885</v>
      </c>
      <c r="L63">
        <v>4137</v>
      </c>
      <c r="M63">
        <v>559</v>
      </c>
      <c r="N63" t="s">
        <v>20</v>
      </c>
      <c r="O63">
        <v>240</v>
      </c>
    </row>
    <row r="64" spans="1:15" x14ac:dyDescent="0.3">
      <c r="A64">
        <v>63</v>
      </c>
      <c r="B64" t="s">
        <v>98</v>
      </c>
      <c r="C64">
        <v>62</v>
      </c>
      <c r="D64" t="s">
        <v>63</v>
      </c>
      <c r="E64" t="s">
        <v>30</v>
      </c>
      <c r="F64" t="s">
        <v>31</v>
      </c>
      <c r="G64" t="s">
        <v>19</v>
      </c>
      <c r="H64">
        <v>1</v>
      </c>
      <c r="I64">
        <v>9200</v>
      </c>
      <c r="J64" s="1">
        <v>44593</v>
      </c>
      <c r="K64" s="1">
        <v>45079</v>
      </c>
      <c r="L64">
        <v>45</v>
      </c>
      <c r="M64">
        <v>365</v>
      </c>
      <c r="N64" t="s">
        <v>20</v>
      </c>
      <c r="O64">
        <v>486</v>
      </c>
    </row>
    <row r="65" spans="1:15" x14ac:dyDescent="0.3">
      <c r="A65">
        <v>64</v>
      </c>
      <c r="B65" t="s">
        <v>99</v>
      </c>
      <c r="C65">
        <v>29</v>
      </c>
      <c r="D65" t="s">
        <v>40</v>
      </c>
      <c r="E65" t="s">
        <v>17</v>
      </c>
      <c r="F65" t="s">
        <v>31</v>
      </c>
      <c r="G65" t="s">
        <v>19</v>
      </c>
      <c r="H65">
        <v>8</v>
      </c>
      <c r="I65">
        <v>15200</v>
      </c>
      <c r="J65" s="1">
        <v>44679</v>
      </c>
      <c r="K65" s="1">
        <v>44967</v>
      </c>
      <c r="L65">
        <v>344</v>
      </c>
      <c r="M65">
        <v>477</v>
      </c>
      <c r="N65" t="s">
        <v>20</v>
      </c>
      <c r="O65">
        <v>288</v>
      </c>
    </row>
    <row r="66" spans="1:15" x14ac:dyDescent="0.3">
      <c r="A66">
        <v>65</v>
      </c>
      <c r="B66" t="s">
        <v>100</v>
      </c>
      <c r="C66">
        <v>59</v>
      </c>
      <c r="D66" t="s">
        <v>46</v>
      </c>
      <c r="E66" t="s">
        <v>30</v>
      </c>
      <c r="F66" t="s">
        <v>18</v>
      </c>
      <c r="G66" t="s">
        <v>19</v>
      </c>
      <c r="H66">
        <v>10</v>
      </c>
      <c r="I66">
        <v>91000</v>
      </c>
      <c r="J66" s="1">
        <v>44679</v>
      </c>
      <c r="K66" s="1">
        <v>45077</v>
      </c>
      <c r="L66">
        <v>6000</v>
      </c>
      <c r="M66">
        <v>367</v>
      </c>
      <c r="N66" t="s">
        <v>20</v>
      </c>
      <c r="O66">
        <v>398</v>
      </c>
    </row>
    <row r="67" spans="1:15" x14ac:dyDescent="0.3">
      <c r="A67">
        <v>66</v>
      </c>
      <c r="B67" t="s">
        <v>101</v>
      </c>
      <c r="C67">
        <v>57</v>
      </c>
      <c r="D67" t="s">
        <v>38</v>
      </c>
      <c r="E67" t="s">
        <v>17</v>
      </c>
      <c r="F67" t="s">
        <v>23</v>
      </c>
      <c r="G67" t="s">
        <v>19</v>
      </c>
      <c r="H67">
        <v>7</v>
      </c>
      <c r="I67">
        <v>9100</v>
      </c>
      <c r="J67" s="1">
        <v>44765</v>
      </c>
      <c r="K67" s="1">
        <v>44803</v>
      </c>
      <c r="L67">
        <v>1029</v>
      </c>
      <c r="M67">
        <v>641</v>
      </c>
      <c r="N67" t="s">
        <v>20</v>
      </c>
      <c r="O67">
        <v>38</v>
      </c>
    </row>
    <row r="68" spans="1:15" x14ac:dyDescent="0.3">
      <c r="A68">
        <v>67</v>
      </c>
      <c r="B68" t="s">
        <v>102</v>
      </c>
      <c r="C68">
        <v>28</v>
      </c>
      <c r="D68" t="s">
        <v>40</v>
      </c>
      <c r="E68" t="s">
        <v>17</v>
      </c>
      <c r="F68" t="s">
        <v>18</v>
      </c>
      <c r="G68" t="s">
        <v>27</v>
      </c>
      <c r="H68">
        <v>10</v>
      </c>
      <c r="I68">
        <v>6000</v>
      </c>
      <c r="J68" s="1">
        <v>44917</v>
      </c>
      <c r="K68" s="1">
        <v>45189</v>
      </c>
      <c r="L68">
        <v>6170</v>
      </c>
      <c r="M68">
        <v>255</v>
      </c>
      <c r="N68" t="s">
        <v>20</v>
      </c>
      <c r="O68">
        <v>272</v>
      </c>
    </row>
    <row r="69" spans="1:15" x14ac:dyDescent="0.3">
      <c r="A69">
        <v>68</v>
      </c>
      <c r="B69" t="s">
        <v>103</v>
      </c>
      <c r="C69">
        <v>47</v>
      </c>
      <c r="D69" t="s">
        <v>29</v>
      </c>
      <c r="E69" t="s">
        <v>17</v>
      </c>
      <c r="F69" t="s">
        <v>18</v>
      </c>
      <c r="G69" t="s">
        <v>19</v>
      </c>
      <c r="H69">
        <v>8</v>
      </c>
      <c r="I69">
        <v>5600</v>
      </c>
      <c r="J69" s="1">
        <v>45005</v>
      </c>
      <c r="K69" s="1">
        <v>45496</v>
      </c>
      <c r="L69">
        <v>4904</v>
      </c>
      <c r="M69">
        <v>-52</v>
      </c>
      <c r="N69" t="s">
        <v>47</v>
      </c>
      <c r="O69">
        <v>491</v>
      </c>
    </row>
    <row r="70" spans="1:15" x14ac:dyDescent="0.3">
      <c r="A70">
        <v>69</v>
      </c>
      <c r="B70" t="s">
        <v>104</v>
      </c>
      <c r="C70">
        <v>54</v>
      </c>
      <c r="D70" t="s">
        <v>46</v>
      </c>
      <c r="E70" t="s">
        <v>25</v>
      </c>
      <c r="F70" t="s">
        <v>26</v>
      </c>
      <c r="G70" t="s">
        <v>19</v>
      </c>
      <c r="H70">
        <v>5</v>
      </c>
      <c r="I70">
        <v>17500</v>
      </c>
      <c r="J70" s="1">
        <v>45113</v>
      </c>
      <c r="K70" s="1">
        <v>45509</v>
      </c>
      <c r="L70">
        <v>200</v>
      </c>
      <c r="M70">
        <v>-65</v>
      </c>
      <c r="N70" t="s">
        <v>47</v>
      </c>
      <c r="O70">
        <v>396</v>
      </c>
    </row>
    <row r="71" spans="1:15" x14ac:dyDescent="0.3">
      <c r="A71">
        <v>70</v>
      </c>
      <c r="B71" t="s">
        <v>105</v>
      </c>
      <c r="C71">
        <v>36</v>
      </c>
      <c r="D71" t="s">
        <v>46</v>
      </c>
      <c r="E71" t="s">
        <v>36</v>
      </c>
      <c r="F71" t="s">
        <v>18</v>
      </c>
      <c r="G71" t="s">
        <v>19</v>
      </c>
      <c r="H71">
        <v>2</v>
      </c>
      <c r="I71">
        <v>28200</v>
      </c>
      <c r="J71" s="1">
        <v>45023</v>
      </c>
      <c r="K71" s="1">
        <v>45147</v>
      </c>
      <c r="L71">
        <v>1238</v>
      </c>
      <c r="M71">
        <v>297</v>
      </c>
      <c r="N71" t="s">
        <v>20</v>
      </c>
      <c r="O71">
        <v>124</v>
      </c>
    </row>
    <row r="72" spans="1:15" x14ac:dyDescent="0.3">
      <c r="A72">
        <v>71</v>
      </c>
      <c r="B72" t="s">
        <v>106</v>
      </c>
      <c r="C72">
        <v>41</v>
      </c>
      <c r="D72" t="s">
        <v>22</v>
      </c>
      <c r="E72" t="s">
        <v>30</v>
      </c>
      <c r="F72" t="s">
        <v>23</v>
      </c>
      <c r="G72" t="s">
        <v>33</v>
      </c>
      <c r="H72">
        <v>3</v>
      </c>
      <c r="I72">
        <v>21000</v>
      </c>
      <c r="J72" s="1">
        <v>44779</v>
      </c>
      <c r="K72" s="1">
        <v>44960</v>
      </c>
      <c r="L72">
        <v>378</v>
      </c>
      <c r="M72">
        <v>484</v>
      </c>
      <c r="N72" t="s">
        <v>20</v>
      </c>
      <c r="O72">
        <v>181</v>
      </c>
    </row>
    <row r="73" spans="1:15" x14ac:dyDescent="0.3">
      <c r="A73">
        <v>72</v>
      </c>
      <c r="B73" t="s">
        <v>107</v>
      </c>
      <c r="C73">
        <v>21</v>
      </c>
      <c r="D73" t="s">
        <v>29</v>
      </c>
      <c r="E73" t="s">
        <v>30</v>
      </c>
      <c r="F73" t="s">
        <v>18</v>
      </c>
      <c r="G73" t="s">
        <v>27</v>
      </c>
      <c r="H73">
        <v>9</v>
      </c>
      <c r="I73">
        <v>41400</v>
      </c>
      <c r="J73" s="1">
        <v>44649</v>
      </c>
      <c r="K73" s="1">
        <v>44772</v>
      </c>
      <c r="L73">
        <v>5544</v>
      </c>
      <c r="M73">
        <v>672</v>
      </c>
      <c r="N73" t="s">
        <v>20</v>
      </c>
      <c r="O73">
        <v>123</v>
      </c>
    </row>
    <row r="74" spans="1:15" x14ac:dyDescent="0.3">
      <c r="A74">
        <v>73</v>
      </c>
      <c r="B74" t="s">
        <v>108</v>
      </c>
      <c r="C74">
        <v>49</v>
      </c>
      <c r="D74" t="s">
        <v>46</v>
      </c>
      <c r="E74" t="s">
        <v>25</v>
      </c>
      <c r="F74" t="s">
        <v>26</v>
      </c>
      <c r="G74" t="s">
        <v>33</v>
      </c>
      <c r="H74">
        <v>1</v>
      </c>
      <c r="I74">
        <v>1400</v>
      </c>
      <c r="J74" s="1">
        <v>44863</v>
      </c>
      <c r="K74" s="1">
        <v>44976</v>
      </c>
      <c r="L74">
        <v>35</v>
      </c>
      <c r="M74">
        <v>468</v>
      </c>
      <c r="N74" t="s">
        <v>20</v>
      </c>
      <c r="O74">
        <v>113</v>
      </c>
    </row>
    <row r="75" spans="1:15" x14ac:dyDescent="0.3">
      <c r="A75">
        <v>74</v>
      </c>
      <c r="B75" t="s">
        <v>109</v>
      </c>
      <c r="C75">
        <v>56</v>
      </c>
      <c r="D75" t="s">
        <v>40</v>
      </c>
      <c r="E75" t="s">
        <v>30</v>
      </c>
      <c r="F75" t="s">
        <v>18</v>
      </c>
      <c r="G75" t="s">
        <v>33</v>
      </c>
      <c r="H75">
        <v>9</v>
      </c>
      <c r="I75">
        <v>52200</v>
      </c>
      <c r="J75" s="1">
        <v>44997</v>
      </c>
      <c r="K75" s="1">
        <v>45378</v>
      </c>
      <c r="L75">
        <v>5625</v>
      </c>
      <c r="M75">
        <v>66</v>
      </c>
      <c r="N75" t="s">
        <v>47</v>
      </c>
      <c r="O75">
        <v>381</v>
      </c>
    </row>
    <row r="76" spans="1:15" x14ac:dyDescent="0.3">
      <c r="A76">
        <v>75</v>
      </c>
      <c r="B76" t="s">
        <v>110</v>
      </c>
      <c r="C76">
        <v>40</v>
      </c>
      <c r="D76" t="s">
        <v>29</v>
      </c>
      <c r="E76" t="s">
        <v>30</v>
      </c>
      <c r="F76" t="s">
        <v>26</v>
      </c>
      <c r="G76" t="s">
        <v>19</v>
      </c>
      <c r="H76">
        <v>5</v>
      </c>
      <c r="I76">
        <v>24500</v>
      </c>
      <c r="J76" s="1">
        <v>44685</v>
      </c>
      <c r="K76" s="1">
        <v>45054</v>
      </c>
      <c r="L76">
        <v>110</v>
      </c>
      <c r="M76">
        <v>390</v>
      </c>
      <c r="N76" t="s">
        <v>20</v>
      </c>
      <c r="O76">
        <v>369</v>
      </c>
    </row>
    <row r="77" spans="1:15" x14ac:dyDescent="0.3">
      <c r="A77">
        <v>76</v>
      </c>
      <c r="B77" t="s">
        <v>111</v>
      </c>
      <c r="C77">
        <v>34</v>
      </c>
      <c r="D77" t="s">
        <v>29</v>
      </c>
      <c r="E77" t="s">
        <v>17</v>
      </c>
      <c r="F77" t="s">
        <v>31</v>
      </c>
      <c r="G77" t="s">
        <v>19</v>
      </c>
      <c r="H77">
        <v>8</v>
      </c>
      <c r="I77">
        <v>8800</v>
      </c>
      <c r="J77" s="1">
        <v>45099</v>
      </c>
      <c r="K77" s="1">
        <v>45404</v>
      </c>
      <c r="L77">
        <v>384</v>
      </c>
      <c r="M77">
        <v>40</v>
      </c>
      <c r="N77" t="s">
        <v>47</v>
      </c>
      <c r="O77">
        <v>305</v>
      </c>
    </row>
    <row r="78" spans="1:15" x14ac:dyDescent="0.3">
      <c r="A78">
        <v>77</v>
      </c>
      <c r="B78" t="s">
        <v>112</v>
      </c>
      <c r="C78">
        <v>44</v>
      </c>
      <c r="D78" t="s">
        <v>16</v>
      </c>
      <c r="E78" t="s">
        <v>25</v>
      </c>
      <c r="F78" t="s">
        <v>18</v>
      </c>
      <c r="G78" t="s">
        <v>19</v>
      </c>
      <c r="H78">
        <v>3</v>
      </c>
      <c r="I78">
        <v>6600</v>
      </c>
      <c r="J78" s="1">
        <v>44576</v>
      </c>
      <c r="K78" s="1">
        <v>44938</v>
      </c>
      <c r="L78">
        <v>1872</v>
      </c>
      <c r="M78">
        <v>506</v>
      </c>
      <c r="N78" t="s">
        <v>20</v>
      </c>
      <c r="O78">
        <v>362</v>
      </c>
    </row>
    <row r="79" spans="1:15" x14ac:dyDescent="0.3">
      <c r="A79">
        <v>78</v>
      </c>
      <c r="B79" t="s">
        <v>113</v>
      </c>
      <c r="C79">
        <v>56</v>
      </c>
      <c r="D79" t="s">
        <v>52</v>
      </c>
      <c r="E79" t="s">
        <v>30</v>
      </c>
      <c r="F79" t="s">
        <v>23</v>
      </c>
      <c r="G79" t="s">
        <v>19</v>
      </c>
      <c r="H79">
        <v>5</v>
      </c>
      <c r="I79">
        <v>43500</v>
      </c>
      <c r="J79" s="1">
        <v>44691</v>
      </c>
      <c r="K79" s="1">
        <v>45017</v>
      </c>
      <c r="L79">
        <v>705</v>
      </c>
      <c r="M79">
        <v>427</v>
      </c>
      <c r="N79" t="s">
        <v>20</v>
      </c>
      <c r="O79">
        <v>326</v>
      </c>
    </row>
    <row r="80" spans="1:15" x14ac:dyDescent="0.3">
      <c r="A80">
        <v>79</v>
      </c>
      <c r="B80" t="s">
        <v>114</v>
      </c>
      <c r="C80">
        <v>51</v>
      </c>
      <c r="D80" t="s">
        <v>16</v>
      </c>
      <c r="E80" t="s">
        <v>17</v>
      </c>
      <c r="F80" t="s">
        <v>18</v>
      </c>
      <c r="G80" t="s">
        <v>33</v>
      </c>
      <c r="H80">
        <v>8</v>
      </c>
      <c r="I80">
        <v>9600</v>
      </c>
      <c r="J80" s="1">
        <v>44750</v>
      </c>
      <c r="K80" s="1">
        <v>45244</v>
      </c>
      <c r="L80">
        <v>4744</v>
      </c>
      <c r="M80">
        <v>200</v>
      </c>
      <c r="N80" t="s">
        <v>20</v>
      </c>
      <c r="O80">
        <v>494</v>
      </c>
    </row>
    <row r="81" spans="1:15" x14ac:dyDescent="0.3">
      <c r="A81">
        <v>80</v>
      </c>
      <c r="B81" t="s">
        <v>115</v>
      </c>
      <c r="C81">
        <v>46</v>
      </c>
      <c r="D81" t="s">
        <v>38</v>
      </c>
      <c r="E81" t="s">
        <v>36</v>
      </c>
      <c r="F81" t="s">
        <v>23</v>
      </c>
      <c r="G81" t="s">
        <v>19</v>
      </c>
      <c r="H81">
        <v>8</v>
      </c>
      <c r="I81">
        <v>59200</v>
      </c>
      <c r="J81" s="1">
        <v>45152</v>
      </c>
      <c r="K81" s="1">
        <v>45474</v>
      </c>
      <c r="L81">
        <v>904</v>
      </c>
      <c r="M81">
        <v>-30</v>
      </c>
      <c r="N81" t="s">
        <v>47</v>
      </c>
      <c r="O81">
        <v>322</v>
      </c>
    </row>
    <row r="82" spans="1:15" x14ac:dyDescent="0.3">
      <c r="A82">
        <v>81</v>
      </c>
      <c r="B82" t="s">
        <v>116</v>
      </c>
      <c r="C82">
        <v>36</v>
      </c>
      <c r="D82" t="s">
        <v>52</v>
      </c>
      <c r="E82" t="s">
        <v>25</v>
      </c>
      <c r="F82" t="s">
        <v>18</v>
      </c>
      <c r="G82" t="s">
        <v>19</v>
      </c>
      <c r="H82">
        <v>2</v>
      </c>
      <c r="I82">
        <v>6600</v>
      </c>
      <c r="J82" s="1">
        <v>44988</v>
      </c>
      <c r="K82" s="1">
        <v>45298</v>
      </c>
      <c r="L82">
        <v>1256</v>
      </c>
      <c r="M82">
        <v>146</v>
      </c>
      <c r="N82" t="s">
        <v>47</v>
      </c>
      <c r="O82">
        <v>310</v>
      </c>
    </row>
    <row r="83" spans="1:15" x14ac:dyDescent="0.3">
      <c r="A83">
        <v>82</v>
      </c>
      <c r="B83" t="s">
        <v>117</v>
      </c>
      <c r="C83">
        <v>40</v>
      </c>
      <c r="D83" t="s">
        <v>40</v>
      </c>
      <c r="E83" t="s">
        <v>36</v>
      </c>
      <c r="F83" t="s">
        <v>26</v>
      </c>
      <c r="G83" t="s">
        <v>33</v>
      </c>
      <c r="H83">
        <v>10</v>
      </c>
      <c r="I83">
        <v>191000</v>
      </c>
      <c r="J83" s="1">
        <v>44874</v>
      </c>
      <c r="K83" s="1">
        <v>45165</v>
      </c>
      <c r="L83">
        <v>490</v>
      </c>
      <c r="M83">
        <v>279</v>
      </c>
      <c r="N83" t="s">
        <v>20</v>
      </c>
      <c r="O83">
        <v>291</v>
      </c>
    </row>
    <row r="84" spans="1:15" x14ac:dyDescent="0.3">
      <c r="A84">
        <v>83</v>
      </c>
      <c r="B84" t="s">
        <v>118</v>
      </c>
      <c r="C84">
        <v>37</v>
      </c>
      <c r="D84" t="s">
        <v>63</v>
      </c>
      <c r="E84" t="s">
        <v>17</v>
      </c>
      <c r="F84" t="s">
        <v>31</v>
      </c>
      <c r="G84" t="s">
        <v>19</v>
      </c>
      <c r="H84">
        <v>2</v>
      </c>
      <c r="I84">
        <v>1600</v>
      </c>
      <c r="J84" s="1">
        <v>44807</v>
      </c>
      <c r="K84" s="1">
        <v>44895</v>
      </c>
      <c r="L84">
        <v>130</v>
      </c>
      <c r="M84">
        <v>549</v>
      </c>
      <c r="N84" t="s">
        <v>20</v>
      </c>
      <c r="O84">
        <v>88</v>
      </c>
    </row>
    <row r="85" spans="1:15" x14ac:dyDescent="0.3">
      <c r="A85">
        <v>84</v>
      </c>
      <c r="B85" t="s">
        <v>119</v>
      </c>
      <c r="C85">
        <v>49</v>
      </c>
      <c r="D85" t="s">
        <v>16</v>
      </c>
      <c r="E85" t="s">
        <v>25</v>
      </c>
      <c r="F85" t="s">
        <v>23</v>
      </c>
      <c r="G85" t="s">
        <v>33</v>
      </c>
      <c r="H85">
        <v>10</v>
      </c>
      <c r="I85">
        <v>29000</v>
      </c>
      <c r="J85" s="1">
        <v>44860</v>
      </c>
      <c r="K85" s="1">
        <v>44876</v>
      </c>
      <c r="L85">
        <v>1240</v>
      </c>
      <c r="M85">
        <v>568</v>
      </c>
      <c r="N85" t="s">
        <v>20</v>
      </c>
      <c r="O85">
        <v>16</v>
      </c>
    </row>
    <row r="86" spans="1:15" x14ac:dyDescent="0.3">
      <c r="A86">
        <v>85</v>
      </c>
      <c r="B86" t="s">
        <v>120</v>
      </c>
      <c r="C86">
        <v>64</v>
      </c>
      <c r="D86" t="s">
        <v>38</v>
      </c>
      <c r="E86" t="s">
        <v>30</v>
      </c>
      <c r="F86" t="s">
        <v>26</v>
      </c>
      <c r="G86" t="s">
        <v>19</v>
      </c>
      <c r="H86">
        <v>4</v>
      </c>
      <c r="I86">
        <v>20800</v>
      </c>
      <c r="J86" s="1">
        <v>44764</v>
      </c>
      <c r="K86" s="1">
        <v>44981</v>
      </c>
      <c r="L86">
        <v>68</v>
      </c>
      <c r="M86">
        <v>463</v>
      </c>
      <c r="N86" t="s">
        <v>20</v>
      </c>
      <c r="O86">
        <v>217</v>
      </c>
    </row>
    <row r="87" spans="1:15" x14ac:dyDescent="0.3">
      <c r="A87">
        <v>86</v>
      </c>
      <c r="B87" t="s">
        <v>121</v>
      </c>
      <c r="C87">
        <v>25</v>
      </c>
      <c r="D87" t="s">
        <v>40</v>
      </c>
      <c r="E87" t="s">
        <v>25</v>
      </c>
      <c r="F87" t="s">
        <v>18</v>
      </c>
      <c r="G87" t="s">
        <v>19</v>
      </c>
      <c r="H87">
        <v>1</v>
      </c>
      <c r="I87">
        <v>1700</v>
      </c>
      <c r="J87" s="1">
        <v>44876</v>
      </c>
      <c r="K87" s="1">
        <v>45180</v>
      </c>
      <c r="L87">
        <v>626</v>
      </c>
      <c r="M87">
        <v>264</v>
      </c>
      <c r="N87" t="s">
        <v>20</v>
      </c>
      <c r="O87">
        <v>304</v>
      </c>
    </row>
    <row r="88" spans="1:15" x14ac:dyDescent="0.3">
      <c r="A88">
        <v>87</v>
      </c>
      <c r="B88" t="s">
        <v>122</v>
      </c>
      <c r="C88">
        <v>65</v>
      </c>
      <c r="D88" t="s">
        <v>38</v>
      </c>
      <c r="E88" t="s">
        <v>36</v>
      </c>
      <c r="F88" t="s">
        <v>23</v>
      </c>
      <c r="G88" t="s">
        <v>33</v>
      </c>
      <c r="H88">
        <v>5</v>
      </c>
      <c r="I88">
        <v>91000</v>
      </c>
      <c r="J88" s="1">
        <v>44840</v>
      </c>
      <c r="K88" s="1">
        <v>45096</v>
      </c>
      <c r="L88">
        <v>720</v>
      </c>
      <c r="M88">
        <v>348</v>
      </c>
      <c r="N88" t="s">
        <v>20</v>
      </c>
      <c r="O88">
        <v>256</v>
      </c>
    </row>
    <row r="89" spans="1:15" x14ac:dyDescent="0.3">
      <c r="A89">
        <v>88</v>
      </c>
      <c r="B89" t="s">
        <v>123</v>
      </c>
      <c r="C89">
        <v>23</v>
      </c>
      <c r="D89" t="s">
        <v>46</v>
      </c>
      <c r="E89" t="s">
        <v>36</v>
      </c>
      <c r="F89" t="s">
        <v>23</v>
      </c>
      <c r="G89" t="s">
        <v>27</v>
      </c>
      <c r="H89">
        <v>7</v>
      </c>
      <c r="I89">
        <v>109200</v>
      </c>
      <c r="J89" s="1">
        <v>44818</v>
      </c>
      <c r="K89" s="1">
        <v>44831</v>
      </c>
      <c r="L89">
        <v>805</v>
      </c>
      <c r="M89">
        <v>613</v>
      </c>
      <c r="N89" t="s">
        <v>20</v>
      </c>
      <c r="O89">
        <v>13</v>
      </c>
    </row>
    <row r="90" spans="1:15" x14ac:dyDescent="0.3">
      <c r="A90">
        <v>89</v>
      </c>
      <c r="B90" t="s">
        <v>124</v>
      </c>
      <c r="C90">
        <v>23</v>
      </c>
      <c r="D90" t="s">
        <v>40</v>
      </c>
      <c r="E90" t="s">
        <v>17</v>
      </c>
      <c r="F90" t="s">
        <v>18</v>
      </c>
      <c r="G90" t="s">
        <v>27</v>
      </c>
      <c r="H90">
        <v>3</v>
      </c>
      <c r="I90">
        <v>4500</v>
      </c>
      <c r="J90" s="1">
        <v>45093</v>
      </c>
      <c r="K90" s="1">
        <v>45426</v>
      </c>
      <c r="L90">
        <v>1854</v>
      </c>
      <c r="M90">
        <v>18</v>
      </c>
      <c r="N90" t="s">
        <v>47</v>
      </c>
      <c r="O90">
        <v>333</v>
      </c>
    </row>
    <row r="91" spans="1:15" x14ac:dyDescent="0.3">
      <c r="A91">
        <v>90</v>
      </c>
      <c r="B91" t="s">
        <v>125</v>
      </c>
      <c r="C91">
        <v>26</v>
      </c>
      <c r="D91" t="s">
        <v>38</v>
      </c>
      <c r="E91" t="s">
        <v>25</v>
      </c>
      <c r="F91" t="s">
        <v>26</v>
      </c>
      <c r="G91" t="s">
        <v>33</v>
      </c>
      <c r="H91">
        <v>8</v>
      </c>
      <c r="I91">
        <v>19200</v>
      </c>
      <c r="J91" s="1">
        <v>44980</v>
      </c>
      <c r="K91" s="1">
        <v>45150</v>
      </c>
      <c r="L91">
        <v>240</v>
      </c>
      <c r="M91">
        <v>294</v>
      </c>
      <c r="N91" t="s">
        <v>20</v>
      </c>
      <c r="O91">
        <v>170</v>
      </c>
    </row>
    <row r="92" spans="1:15" x14ac:dyDescent="0.3">
      <c r="A92">
        <v>91</v>
      </c>
      <c r="B92" t="s">
        <v>126</v>
      </c>
      <c r="C92">
        <v>65</v>
      </c>
      <c r="D92" t="s">
        <v>16</v>
      </c>
      <c r="E92" t="s">
        <v>25</v>
      </c>
      <c r="F92" t="s">
        <v>18</v>
      </c>
      <c r="G92" t="s">
        <v>33</v>
      </c>
      <c r="H92">
        <v>8</v>
      </c>
      <c r="I92">
        <v>17600</v>
      </c>
      <c r="J92" s="1">
        <v>44972</v>
      </c>
      <c r="K92" s="1">
        <v>45388</v>
      </c>
      <c r="L92">
        <v>5000</v>
      </c>
      <c r="M92">
        <v>56</v>
      </c>
      <c r="N92" t="s">
        <v>47</v>
      </c>
      <c r="O92">
        <v>416</v>
      </c>
    </row>
    <row r="93" spans="1:15" x14ac:dyDescent="0.3">
      <c r="A93">
        <v>92</v>
      </c>
      <c r="B93" t="s">
        <v>127</v>
      </c>
      <c r="C93">
        <v>37</v>
      </c>
      <c r="D93" t="s">
        <v>63</v>
      </c>
      <c r="E93" t="s">
        <v>36</v>
      </c>
      <c r="F93" t="s">
        <v>23</v>
      </c>
      <c r="G93" t="s">
        <v>19</v>
      </c>
      <c r="H93">
        <v>6</v>
      </c>
      <c r="I93">
        <v>52800</v>
      </c>
      <c r="J93" s="1">
        <v>44975</v>
      </c>
      <c r="K93" s="1">
        <v>45417</v>
      </c>
      <c r="L93">
        <v>852</v>
      </c>
      <c r="M93">
        <v>27</v>
      </c>
      <c r="N93" t="s">
        <v>47</v>
      </c>
      <c r="O93">
        <v>442</v>
      </c>
    </row>
    <row r="94" spans="1:15" x14ac:dyDescent="0.3">
      <c r="A94">
        <v>93</v>
      </c>
      <c r="B94" t="s">
        <v>128</v>
      </c>
      <c r="C94">
        <v>33</v>
      </c>
      <c r="D94" t="s">
        <v>63</v>
      </c>
      <c r="E94" t="s">
        <v>36</v>
      </c>
      <c r="F94" t="s">
        <v>26</v>
      </c>
      <c r="G94" t="s">
        <v>19</v>
      </c>
      <c r="H94">
        <v>9</v>
      </c>
      <c r="I94">
        <v>152100</v>
      </c>
      <c r="J94" s="1">
        <v>45072</v>
      </c>
      <c r="K94" s="1">
        <v>45392</v>
      </c>
      <c r="L94">
        <v>342</v>
      </c>
      <c r="M94">
        <v>52</v>
      </c>
      <c r="N94" t="s">
        <v>47</v>
      </c>
      <c r="O94">
        <v>320</v>
      </c>
    </row>
    <row r="95" spans="1:15" x14ac:dyDescent="0.3">
      <c r="A95">
        <v>94</v>
      </c>
      <c r="B95" t="s">
        <v>129</v>
      </c>
      <c r="C95">
        <v>29</v>
      </c>
      <c r="D95" t="s">
        <v>63</v>
      </c>
      <c r="E95" t="s">
        <v>25</v>
      </c>
      <c r="F95" t="s">
        <v>18</v>
      </c>
      <c r="G95" t="s">
        <v>27</v>
      </c>
      <c r="H95">
        <v>5</v>
      </c>
      <c r="I95">
        <v>14000</v>
      </c>
      <c r="J95" s="1">
        <v>45058</v>
      </c>
      <c r="K95" s="1">
        <v>45120</v>
      </c>
      <c r="L95">
        <v>2955</v>
      </c>
      <c r="M95">
        <v>324</v>
      </c>
      <c r="N95" t="s">
        <v>20</v>
      </c>
      <c r="O95">
        <v>62</v>
      </c>
    </row>
    <row r="96" spans="1:15" x14ac:dyDescent="0.3">
      <c r="A96">
        <v>95</v>
      </c>
      <c r="B96" t="s">
        <v>130</v>
      </c>
      <c r="C96">
        <v>21</v>
      </c>
      <c r="D96" t="s">
        <v>40</v>
      </c>
      <c r="E96" t="s">
        <v>25</v>
      </c>
      <c r="F96" t="s">
        <v>18</v>
      </c>
      <c r="G96" t="s">
        <v>27</v>
      </c>
      <c r="H96">
        <v>9</v>
      </c>
      <c r="I96">
        <v>24300</v>
      </c>
      <c r="J96" s="1">
        <v>44657</v>
      </c>
      <c r="K96" s="1">
        <v>44772</v>
      </c>
      <c r="L96">
        <v>5373</v>
      </c>
      <c r="M96">
        <v>672</v>
      </c>
      <c r="N96" t="s">
        <v>20</v>
      </c>
      <c r="O96">
        <v>115</v>
      </c>
    </row>
    <row r="97" spans="1:15" x14ac:dyDescent="0.3">
      <c r="A97">
        <v>96</v>
      </c>
      <c r="B97" t="s">
        <v>131</v>
      </c>
      <c r="C97">
        <v>39</v>
      </c>
      <c r="D97" t="s">
        <v>46</v>
      </c>
      <c r="E97" t="s">
        <v>17</v>
      </c>
      <c r="F97" t="s">
        <v>31</v>
      </c>
      <c r="G97" t="s">
        <v>33</v>
      </c>
      <c r="H97">
        <v>9</v>
      </c>
      <c r="I97">
        <v>17100</v>
      </c>
      <c r="J97" s="1">
        <v>44841</v>
      </c>
      <c r="K97" s="1">
        <v>45053</v>
      </c>
      <c r="L97">
        <v>540</v>
      </c>
      <c r="M97">
        <v>391</v>
      </c>
      <c r="N97" t="s">
        <v>20</v>
      </c>
      <c r="O97">
        <v>212</v>
      </c>
    </row>
    <row r="98" spans="1:15" x14ac:dyDescent="0.3">
      <c r="A98">
        <v>97</v>
      </c>
      <c r="B98" t="s">
        <v>132</v>
      </c>
      <c r="C98">
        <v>30</v>
      </c>
      <c r="D98" t="s">
        <v>46</v>
      </c>
      <c r="E98" t="s">
        <v>25</v>
      </c>
      <c r="F98" t="s">
        <v>26</v>
      </c>
      <c r="G98" t="s">
        <v>27</v>
      </c>
      <c r="H98">
        <v>7</v>
      </c>
      <c r="I98">
        <v>12600</v>
      </c>
      <c r="J98" s="1">
        <v>45082</v>
      </c>
      <c r="K98" s="1">
        <v>45464</v>
      </c>
      <c r="L98">
        <v>126</v>
      </c>
      <c r="M98">
        <v>-20</v>
      </c>
      <c r="N98" t="s">
        <v>47</v>
      </c>
      <c r="O98">
        <v>382</v>
      </c>
    </row>
    <row r="99" spans="1:15" x14ac:dyDescent="0.3">
      <c r="A99">
        <v>98</v>
      </c>
      <c r="B99" t="s">
        <v>133</v>
      </c>
      <c r="C99">
        <v>53</v>
      </c>
      <c r="D99" t="s">
        <v>16</v>
      </c>
      <c r="E99" t="s">
        <v>30</v>
      </c>
      <c r="F99" t="s">
        <v>26</v>
      </c>
      <c r="G99" t="s">
        <v>19</v>
      </c>
      <c r="H99">
        <v>5</v>
      </c>
      <c r="I99">
        <v>48500</v>
      </c>
      <c r="J99" s="1">
        <v>44564</v>
      </c>
      <c r="K99" s="1">
        <v>44708</v>
      </c>
      <c r="L99">
        <v>145</v>
      </c>
      <c r="M99">
        <v>736</v>
      </c>
      <c r="N99" t="s">
        <v>20</v>
      </c>
      <c r="O99">
        <v>144</v>
      </c>
    </row>
    <row r="100" spans="1:15" x14ac:dyDescent="0.3">
      <c r="A100">
        <v>99</v>
      </c>
      <c r="B100" t="s">
        <v>134</v>
      </c>
      <c r="C100">
        <v>51</v>
      </c>
      <c r="D100" t="s">
        <v>46</v>
      </c>
      <c r="E100" t="s">
        <v>25</v>
      </c>
      <c r="F100" t="s">
        <v>26</v>
      </c>
      <c r="G100" t="s">
        <v>27</v>
      </c>
      <c r="H100">
        <v>6</v>
      </c>
      <c r="I100">
        <v>14400</v>
      </c>
      <c r="J100" s="1">
        <v>45127</v>
      </c>
      <c r="K100" s="1">
        <v>45517</v>
      </c>
      <c r="L100">
        <v>264</v>
      </c>
      <c r="M100">
        <v>-73</v>
      </c>
      <c r="N100" t="s">
        <v>47</v>
      </c>
      <c r="O100">
        <v>390</v>
      </c>
    </row>
    <row r="101" spans="1:15" x14ac:dyDescent="0.3">
      <c r="A101">
        <v>100</v>
      </c>
      <c r="B101" t="s">
        <v>135</v>
      </c>
      <c r="C101">
        <v>65</v>
      </c>
      <c r="D101" t="s">
        <v>22</v>
      </c>
      <c r="E101" t="s">
        <v>36</v>
      </c>
      <c r="F101" t="s">
        <v>18</v>
      </c>
      <c r="G101" t="s">
        <v>19</v>
      </c>
      <c r="H101">
        <v>4</v>
      </c>
      <c r="I101">
        <v>94800</v>
      </c>
      <c r="J101" s="1">
        <v>44954</v>
      </c>
      <c r="K101" s="1">
        <v>45073</v>
      </c>
      <c r="L101">
        <v>2464</v>
      </c>
      <c r="M101">
        <v>371</v>
      </c>
      <c r="N101" t="s">
        <v>20</v>
      </c>
      <c r="O101">
        <v>119</v>
      </c>
    </row>
    <row r="102" spans="1:15" x14ac:dyDescent="0.3">
      <c r="A102">
        <v>101</v>
      </c>
      <c r="B102" t="s">
        <v>136</v>
      </c>
      <c r="C102">
        <v>45</v>
      </c>
      <c r="D102" t="s">
        <v>63</v>
      </c>
      <c r="E102" t="s">
        <v>30</v>
      </c>
      <c r="F102" t="s">
        <v>26</v>
      </c>
      <c r="G102" t="s">
        <v>33</v>
      </c>
      <c r="H102">
        <v>3</v>
      </c>
      <c r="I102">
        <v>21300</v>
      </c>
      <c r="J102" s="1">
        <v>44599</v>
      </c>
      <c r="K102" s="1">
        <v>44663</v>
      </c>
      <c r="L102">
        <v>126</v>
      </c>
      <c r="M102">
        <v>781</v>
      </c>
      <c r="N102" t="s">
        <v>20</v>
      </c>
      <c r="O102">
        <v>64</v>
      </c>
    </row>
    <row r="103" spans="1:15" x14ac:dyDescent="0.3">
      <c r="A103">
        <v>102</v>
      </c>
      <c r="B103" t="s">
        <v>137</v>
      </c>
      <c r="C103">
        <v>54</v>
      </c>
      <c r="D103" t="s">
        <v>29</v>
      </c>
      <c r="E103" t="s">
        <v>17</v>
      </c>
      <c r="F103" t="s">
        <v>26</v>
      </c>
      <c r="G103" t="s">
        <v>19</v>
      </c>
      <c r="H103">
        <v>8</v>
      </c>
      <c r="I103">
        <v>4000</v>
      </c>
      <c r="J103" s="1">
        <v>44709</v>
      </c>
      <c r="K103" s="1">
        <v>44918</v>
      </c>
      <c r="L103">
        <v>152</v>
      </c>
      <c r="M103">
        <v>526</v>
      </c>
      <c r="N103" t="s">
        <v>20</v>
      </c>
      <c r="O103">
        <v>209</v>
      </c>
    </row>
    <row r="104" spans="1:15" x14ac:dyDescent="0.3">
      <c r="A104">
        <v>103</v>
      </c>
      <c r="B104" t="s">
        <v>138</v>
      </c>
      <c r="C104">
        <v>60</v>
      </c>
      <c r="D104" t="s">
        <v>16</v>
      </c>
      <c r="E104" t="s">
        <v>36</v>
      </c>
      <c r="F104" t="s">
        <v>18</v>
      </c>
      <c r="G104" t="s">
        <v>19</v>
      </c>
      <c r="H104">
        <v>7</v>
      </c>
      <c r="I104">
        <v>53200</v>
      </c>
      <c r="J104" s="1">
        <v>44898</v>
      </c>
      <c r="K104" s="1">
        <v>45334</v>
      </c>
      <c r="L104">
        <v>4368</v>
      </c>
      <c r="M104">
        <v>110</v>
      </c>
      <c r="N104" t="s">
        <v>47</v>
      </c>
      <c r="O104">
        <v>436</v>
      </c>
    </row>
    <row r="105" spans="1:15" x14ac:dyDescent="0.3">
      <c r="A105">
        <v>104</v>
      </c>
      <c r="B105" t="s">
        <v>139</v>
      </c>
      <c r="C105">
        <v>23</v>
      </c>
      <c r="D105" t="s">
        <v>22</v>
      </c>
      <c r="E105" t="s">
        <v>30</v>
      </c>
      <c r="F105" t="s">
        <v>26</v>
      </c>
      <c r="G105" t="s">
        <v>27</v>
      </c>
      <c r="H105">
        <v>10</v>
      </c>
      <c r="I105">
        <v>36000</v>
      </c>
      <c r="J105" s="1">
        <v>44802</v>
      </c>
      <c r="K105" s="1">
        <v>45125</v>
      </c>
      <c r="L105">
        <v>280</v>
      </c>
      <c r="M105">
        <v>319</v>
      </c>
      <c r="N105" t="s">
        <v>20</v>
      </c>
      <c r="O105">
        <v>323</v>
      </c>
    </row>
    <row r="106" spans="1:15" x14ac:dyDescent="0.3">
      <c r="A106">
        <v>105</v>
      </c>
      <c r="B106" t="s">
        <v>140</v>
      </c>
      <c r="C106">
        <v>61</v>
      </c>
      <c r="D106" t="s">
        <v>40</v>
      </c>
      <c r="E106" t="s">
        <v>17</v>
      </c>
      <c r="F106" t="s">
        <v>26</v>
      </c>
      <c r="G106" t="s">
        <v>19</v>
      </c>
      <c r="H106">
        <v>2</v>
      </c>
      <c r="I106">
        <v>2800</v>
      </c>
      <c r="J106" s="1">
        <v>44732</v>
      </c>
      <c r="K106" s="1">
        <v>45087</v>
      </c>
      <c r="L106">
        <v>58</v>
      </c>
      <c r="M106">
        <v>357</v>
      </c>
      <c r="N106" t="s">
        <v>20</v>
      </c>
      <c r="O106">
        <v>355</v>
      </c>
    </row>
    <row r="107" spans="1:15" x14ac:dyDescent="0.3">
      <c r="A107">
        <v>106</v>
      </c>
      <c r="B107" t="s">
        <v>141</v>
      </c>
      <c r="C107">
        <v>39</v>
      </c>
      <c r="D107" t="s">
        <v>63</v>
      </c>
      <c r="E107" t="s">
        <v>17</v>
      </c>
      <c r="F107" t="s">
        <v>18</v>
      </c>
      <c r="G107" t="s">
        <v>19</v>
      </c>
      <c r="H107">
        <v>6</v>
      </c>
      <c r="I107">
        <v>7800</v>
      </c>
      <c r="J107" s="1">
        <v>45003</v>
      </c>
      <c r="K107" s="1">
        <v>45077</v>
      </c>
      <c r="L107">
        <v>3630</v>
      </c>
      <c r="M107">
        <v>367</v>
      </c>
      <c r="N107" t="s">
        <v>20</v>
      </c>
      <c r="O107">
        <v>74</v>
      </c>
    </row>
    <row r="108" spans="1:15" x14ac:dyDescent="0.3">
      <c r="A108">
        <v>107</v>
      </c>
      <c r="B108" t="s">
        <v>142</v>
      </c>
      <c r="C108">
        <v>26</v>
      </c>
      <c r="D108" t="s">
        <v>22</v>
      </c>
      <c r="E108" t="s">
        <v>25</v>
      </c>
      <c r="F108" t="s">
        <v>31</v>
      </c>
      <c r="G108" t="s">
        <v>19</v>
      </c>
      <c r="H108">
        <v>10</v>
      </c>
      <c r="I108">
        <v>46000</v>
      </c>
      <c r="J108" s="1">
        <v>44953</v>
      </c>
      <c r="K108" s="1">
        <v>45270</v>
      </c>
      <c r="L108">
        <v>450</v>
      </c>
      <c r="M108">
        <v>174</v>
      </c>
      <c r="N108" t="s">
        <v>47</v>
      </c>
      <c r="O108">
        <v>317</v>
      </c>
    </row>
    <row r="109" spans="1:15" x14ac:dyDescent="0.3">
      <c r="A109">
        <v>108</v>
      </c>
      <c r="B109" t="s">
        <v>143</v>
      </c>
      <c r="C109">
        <v>61</v>
      </c>
      <c r="D109" t="s">
        <v>46</v>
      </c>
      <c r="E109" t="s">
        <v>25</v>
      </c>
      <c r="F109" t="s">
        <v>31</v>
      </c>
      <c r="G109" t="s">
        <v>33</v>
      </c>
      <c r="H109">
        <v>5</v>
      </c>
      <c r="I109">
        <v>14500</v>
      </c>
      <c r="J109" s="1">
        <v>44823</v>
      </c>
      <c r="K109" s="1">
        <v>45164</v>
      </c>
      <c r="L109">
        <v>150</v>
      </c>
      <c r="M109">
        <v>280</v>
      </c>
      <c r="N109" t="s">
        <v>20</v>
      </c>
      <c r="O109">
        <v>341</v>
      </c>
    </row>
    <row r="110" spans="1:15" x14ac:dyDescent="0.3">
      <c r="A110">
        <v>109</v>
      </c>
      <c r="B110" t="s">
        <v>144</v>
      </c>
      <c r="C110">
        <v>49</v>
      </c>
      <c r="D110" t="s">
        <v>46</v>
      </c>
      <c r="E110" t="s">
        <v>30</v>
      </c>
      <c r="F110" t="s">
        <v>31</v>
      </c>
      <c r="G110" t="s">
        <v>19</v>
      </c>
      <c r="H110">
        <v>6</v>
      </c>
      <c r="I110">
        <v>46800</v>
      </c>
      <c r="J110" s="1">
        <v>44868</v>
      </c>
      <c r="K110" s="1">
        <v>45195</v>
      </c>
      <c r="L110">
        <v>342</v>
      </c>
      <c r="M110">
        <v>249</v>
      </c>
      <c r="N110" t="s">
        <v>20</v>
      </c>
      <c r="O110">
        <v>327</v>
      </c>
    </row>
    <row r="111" spans="1:15" x14ac:dyDescent="0.3">
      <c r="A111">
        <v>110</v>
      </c>
      <c r="B111" t="s">
        <v>145</v>
      </c>
      <c r="C111">
        <v>45</v>
      </c>
      <c r="D111" t="s">
        <v>38</v>
      </c>
      <c r="E111" t="s">
        <v>36</v>
      </c>
      <c r="F111" t="s">
        <v>18</v>
      </c>
      <c r="G111" t="s">
        <v>19</v>
      </c>
      <c r="H111">
        <v>8</v>
      </c>
      <c r="I111">
        <v>68000</v>
      </c>
      <c r="J111" s="1">
        <v>44804</v>
      </c>
      <c r="K111" s="1">
        <v>44999</v>
      </c>
      <c r="L111">
        <v>5008</v>
      </c>
      <c r="M111">
        <v>445</v>
      </c>
      <c r="N111" t="s">
        <v>20</v>
      </c>
      <c r="O111">
        <v>195</v>
      </c>
    </row>
    <row r="112" spans="1:15" x14ac:dyDescent="0.3">
      <c r="A112">
        <v>111</v>
      </c>
      <c r="B112" t="s">
        <v>146</v>
      </c>
      <c r="C112">
        <v>63</v>
      </c>
      <c r="D112" t="s">
        <v>29</v>
      </c>
      <c r="E112" t="s">
        <v>30</v>
      </c>
      <c r="F112" t="s">
        <v>18</v>
      </c>
      <c r="G112" t="s">
        <v>19</v>
      </c>
      <c r="H112">
        <v>7</v>
      </c>
      <c r="I112">
        <v>36400</v>
      </c>
      <c r="J112" s="1">
        <v>44570</v>
      </c>
      <c r="K112" s="1">
        <v>44859</v>
      </c>
      <c r="L112">
        <v>4151</v>
      </c>
      <c r="M112">
        <v>585</v>
      </c>
      <c r="N112" t="s">
        <v>20</v>
      </c>
      <c r="O112">
        <v>289</v>
      </c>
    </row>
    <row r="113" spans="1:15" x14ac:dyDescent="0.3">
      <c r="A113">
        <v>112</v>
      </c>
      <c r="B113" t="s">
        <v>147</v>
      </c>
      <c r="C113">
        <v>43</v>
      </c>
      <c r="D113" t="s">
        <v>46</v>
      </c>
      <c r="E113" t="s">
        <v>30</v>
      </c>
      <c r="F113" t="s">
        <v>31</v>
      </c>
      <c r="G113" t="s">
        <v>27</v>
      </c>
      <c r="H113">
        <v>4</v>
      </c>
      <c r="I113">
        <v>32800</v>
      </c>
      <c r="J113" s="1">
        <v>44756</v>
      </c>
      <c r="K113" s="1">
        <v>45073</v>
      </c>
      <c r="L113">
        <v>184</v>
      </c>
      <c r="M113">
        <v>371</v>
      </c>
      <c r="N113" t="s">
        <v>20</v>
      </c>
      <c r="O113">
        <v>317</v>
      </c>
    </row>
    <row r="114" spans="1:15" x14ac:dyDescent="0.3">
      <c r="A114">
        <v>113</v>
      </c>
      <c r="B114" t="s">
        <v>148</v>
      </c>
      <c r="C114">
        <v>49</v>
      </c>
      <c r="D114" t="s">
        <v>52</v>
      </c>
      <c r="E114" t="s">
        <v>17</v>
      </c>
      <c r="F114" t="s">
        <v>23</v>
      </c>
      <c r="G114" t="s">
        <v>19</v>
      </c>
      <c r="H114">
        <v>1</v>
      </c>
      <c r="I114">
        <v>1700</v>
      </c>
      <c r="J114" s="1">
        <v>44935</v>
      </c>
      <c r="K114" s="1">
        <v>45309</v>
      </c>
      <c r="L114">
        <v>118</v>
      </c>
      <c r="M114">
        <v>135</v>
      </c>
      <c r="N114" t="s">
        <v>47</v>
      </c>
      <c r="O114">
        <v>374</v>
      </c>
    </row>
    <row r="115" spans="1:15" x14ac:dyDescent="0.3">
      <c r="A115">
        <v>114</v>
      </c>
      <c r="B115" t="s">
        <v>149</v>
      </c>
      <c r="C115">
        <v>32</v>
      </c>
      <c r="D115" t="s">
        <v>16</v>
      </c>
      <c r="E115" t="s">
        <v>30</v>
      </c>
      <c r="F115" t="s">
        <v>18</v>
      </c>
      <c r="G115" t="s">
        <v>33</v>
      </c>
      <c r="H115">
        <v>4</v>
      </c>
      <c r="I115">
        <v>16400</v>
      </c>
      <c r="J115" s="1">
        <v>45114</v>
      </c>
      <c r="K115" s="1">
        <v>45562</v>
      </c>
      <c r="L115">
        <v>2452</v>
      </c>
      <c r="M115">
        <v>-118</v>
      </c>
      <c r="N115" t="s">
        <v>47</v>
      </c>
      <c r="O115">
        <v>448</v>
      </c>
    </row>
    <row r="116" spans="1:15" x14ac:dyDescent="0.3">
      <c r="A116">
        <v>115</v>
      </c>
      <c r="B116" t="s">
        <v>150</v>
      </c>
      <c r="C116">
        <v>39</v>
      </c>
      <c r="D116" t="s">
        <v>38</v>
      </c>
      <c r="E116" t="s">
        <v>25</v>
      </c>
      <c r="F116" t="s">
        <v>18</v>
      </c>
      <c r="G116" t="s">
        <v>33</v>
      </c>
      <c r="H116">
        <v>6</v>
      </c>
      <c r="I116">
        <v>25800</v>
      </c>
      <c r="J116" s="1">
        <v>44679</v>
      </c>
      <c r="K116" s="1">
        <v>44918</v>
      </c>
      <c r="L116">
        <v>3564</v>
      </c>
      <c r="M116">
        <v>526</v>
      </c>
      <c r="N116" t="s">
        <v>20</v>
      </c>
      <c r="O116">
        <v>239</v>
      </c>
    </row>
    <row r="117" spans="1:15" x14ac:dyDescent="0.3">
      <c r="A117">
        <v>116</v>
      </c>
      <c r="B117" t="s">
        <v>151</v>
      </c>
      <c r="C117">
        <v>44</v>
      </c>
      <c r="D117" t="s">
        <v>52</v>
      </c>
      <c r="E117" t="s">
        <v>25</v>
      </c>
      <c r="F117" t="s">
        <v>26</v>
      </c>
      <c r="G117" t="s">
        <v>27</v>
      </c>
      <c r="H117">
        <v>2</v>
      </c>
      <c r="I117">
        <v>8400</v>
      </c>
      <c r="J117" s="1">
        <v>44966</v>
      </c>
      <c r="K117" s="1">
        <v>44973</v>
      </c>
      <c r="L117">
        <v>52</v>
      </c>
      <c r="M117">
        <v>471</v>
      </c>
      <c r="N117" t="s">
        <v>20</v>
      </c>
      <c r="O117">
        <v>7</v>
      </c>
    </row>
    <row r="118" spans="1:15" x14ac:dyDescent="0.3">
      <c r="A118">
        <v>117</v>
      </c>
      <c r="B118" t="s">
        <v>152</v>
      </c>
      <c r="C118">
        <v>58</v>
      </c>
      <c r="D118" t="s">
        <v>16</v>
      </c>
      <c r="E118" t="s">
        <v>36</v>
      </c>
      <c r="F118" t="s">
        <v>18</v>
      </c>
      <c r="G118" t="s">
        <v>19</v>
      </c>
      <c r="H118">
        <v>7</v>
      </c>
      <c r="I118">
        <v>120400</v>
      </c>
      <c r="J118" s="1">
        <v>44672</v>
      </c>
      <c r="K118" s="1">
        <v>45017</v>
      </c>
      <c r="L118">
        <v>4228</v>
      </c>
      <c r="M118">
        <v>427</v>
      </c>
      <c r="N118" t="s">
        <v>20</v>
      </c>
      <c r="O118">
        <v>345</v>
      </c>
    </row>
    <row r="119" spans="1:15" x14ac:dyDescent="0.3">
      <c r="A119">
        <v>118</v>
      </c>
      <c r="B119" t="s">
        <v>153</v>
      </c>
      <c r="C119">
        <v>35</v>
      </c>
      <c r="D119" t="s">
        <v>46</v>
      </c>
      <c r="E119" t="s">
        <v>17</v>
      </c>
      <c r="F119" t="s">
        <v>18</v>
      </c>
      <c r="G119" t="s">
        <v>27</v>
      </c>
      <c r="H119">
        <v>2</v>
      </c>
      <c r="I119">
        <v>3600</v>
      </c>
      <c r="J119" s="1">
        <v>45037</v>
      </c>
      <c r="K119" s="1">
        <v>45502</v>
      </c>
      <c r="L119">
        <v>1218</v>
      </c>
      <c r="M119">
        <v>-58</v>
      </c>
      <c r="N119" t="s">
        <v>47</v>
      </c>
      <c r="O119">
        <v>465</v>
      </c>
    </row>
    <row r="120" spans="1:15" x14ac:dyDescent="0.3">
      <c r="A120">
        <v>119</v>
      </c>
      <c r="B120" t="s">
        <v>154</v>
      </c>
      <c r="C120">
        <v>23</v>
      </c>
      <c r="D120" t="s">
        <v>22</v>
      </c>
      <c r="E120" t="s">
        <v>17</v>
      </c>
      <c r="F120" t="s">
        <v>31</v>
      </c>
      <c r="G120" t="s">
        <v>19</v>
      </c>
      <c r="H120">
        <v>5</v>
      </c>
      <c r="I120">
        <v>7500</v>
      </c>
      <c r="J120" s="1">
        <v>44680</v>
      </c>
      <c r="K120" s="1">
        <v>44729</v>
      </c>
      <c r="L120">
        <v>225</v>
      </c>
      <c r="M120">
        <v>715</v>
      </c>
      <c r="N120" t="s">
        <v>20</v>
      </c>
      <c r="O120">
        <v>49</v>
      </c>
    </row>
    <row r="121" spans="1:15" x14ac:dyDescent="0.3">
      <c r="A121">
        <v>120</v>
      </c>
      <c r="B121" t="s">
        <v>155</v>
      </c>
      <c r="C121">
        <v>63</v>
      </c>
      <c r="D121" t="s">
        <v>52</v>
      </c>
      <c r="E121" t="s">
        <v>36</v>
      </c>
      <c r="F121" t="s">
        <v>26</v>
      </c>
      <c r="G121" t="s">
        <v>19</v>
      </c>
      <c r="H121">
        <v>9</v>
      </c>
      <c r="I121">
        <v>168300</v>
      </c>
      <c r="J121" s="1">
        <v>44720</v>
      </c>
      <c r="K121" s="1">
        <v>45173</v>
      </c>
      <c r="L121">
        <v>324</v>
      </c>
      <c r="M121">
        <v>271</v>
      </c>
      <c r="N121" t="s">
        <v>20</v>
      </c>
      <c r="O121">
        <v>453</v>
      </c>
    </row>
    <row r="122" spans="1:15" x14ac:dyDescent="0.3">
      <c r="A122">
        <v>121</v>
      </c>
      <c r="B122" t="s">
        <v>156</v>
      </c>
      <c r="C122">
        <v>23</v>
      </c>
      <c r="D122" t="s">
        <v>16</v>
      </c>
      <c r="E122" t="s">
        <v>36</v>
      </c>
      <c r="F122" t="s">
        <v>26</v>
      </c>
      <c r="G122" t="s">
        <v>19</v>
      </c>
      <c r="H122">
        <v>6</v>
      </c>
      <c r="I122">
        <v>72600</v>
      </c>
      <c r="J122" s="1">
        <v>45016</v>
      </c>
      <c r="K122" s="1">
        <v>45243</v>
      </c>
      <c r="L122">
        <v>150</v>
      </c>
      <c r="M122">
        <v>201</v>
      </c>
      <c r="N122" t="s">
        <v>20</v>
      </c>
      <c r="O122">
        <v>227</v>
      </c>
    </row>
    <row r="123" spans="1:15" x14ac:dyDescent="0.3">
      <c r="A123">
        <v>122</v>
      </c>
      <c r="B123" t="s">
        <v>157</v>
      </c>
      <c r="C123">
        <v>62</v>
      </c>
      <c r="D123" t="s">
        <v>29</v>
      </c>
      <c r="E123" t="s">
        <v>17</v>
      </c>
      <c r="F123" t="s">
        <v>18</v>
      </c>
      <c r="G123" t="s">
        <v>27</v>
      </c>
      <c r="H123">
        <v>6</v>
      </c>
      <c r="I123">
        <v>3600</v>
      </c>
      <c r="J123" s="1">
        <v>44969</v>
      </c>
      <c r="K123" s="1">
        <v>45110</v>
      </c>
      <c r="L123">
        <v>3612</v>
      </c>
      <c r="M123">
        <v>334</v>
      </c>
      <c r="N123" t="s">
        <v>20</v>
      </c>
      <c r="O123">
        <v>141</v>
      </c>
    </row>
    <row r="124" spans="1:15" x14ac:dyDescent="0.3">
      <c r="A124">
        <v>123</v>
      </c>
      <c r="B124" t="s">
        <v>158</v>
      </c>
      <c r="C124">
        <v>62</v>
      </c>
      <c r="D124" t="s">
        <v>16</v>
      </c>
      <c r="E124" t="s">
        <v>36</v>
      </c>
      <c r="F124" t="s">
        <v>23</v>
      </c>
      <c r="G124" t="s">
        <v>19</v>
      </c>
      <c r="H124">
        <v>10</v>
      </c>
      <c r="I124">
        <v>57000</v>
      </c>
      <c r="J124" s="1">
        <v>44613</v>
      </c>
      <c r="K124" s="1">
        <v>45015</v>
      </c>
      <c r="L124">
        <v>1310</v>
      </c>
      <c r="M124">
        <v>429</v>
      </c>
      <c r="N124" t="s">
        <v>20</v>
      </c>
      <c r="O124">
        <v>402</v>
      </c>
    </row>
    <row r="125" spans="1:15" x14ac:dyDescent="0.3">
      <c r="A125">
        <v>124</v>
      </c>
      <c r="B125" t="s">
        <v>159</v>
      </c>
      <c r="C125">
        <v>56</v>
      </c>
      <c r="D125" t="s">
        <v>40</v>
      </c>
      <c r="E125" t="s">
        <v>25</v>
      </c>
      <c r="F125" t="s">
        <v>31</v>
      </c>
      <c r="G125" t="s">
        <v>19</v>
      </c>
      <c r="H125">
        <v>4</v>
      </c>
      <c r="I125">
        <v>13600</v>
      </c>
      <c r="J125" s="1">
        <v>44783</v>
      </c>
      <c r="K125" s="1">
        <v>45199</v>
      </c>
      <c r="L125">
        <v>176</v>
      </c>
      <c r="M125">
        <v>245</v>
      </c>
      <c r="N125" t="s">
        <v>20</v>
      </c>
      <c r="O125">
        <v>416</v>
      </c>
    </row>
    <row r="126" spans="1:15" x14ac:dyDescent="0.3">
      <c r="A126">
        <v>125</v>
      </c>
      <c r="B126" t="s">
        <v>160</v>
      </c>
      <c r="C126">
        <v>30</v>
      </c>
      <c r="D126" t="s">
        <v>29</v>
      </c>
      <c r="E126" t="s">
        <v>25</v>
      </c>
      <c r="F126" t="s">
        <v>23</v>
      </c>
      <c r="G126" t="s">
        <v>19</v>
      </c>
      <c r="H126">
        <v>3</v>
      </c>
      <c r="I126">
        <v>9600</v>
      </c>
      <c r="J126" s="1">
        <v>44818</v>
      </c>
      <c r="K126" s="1">
        <v>45226</v>
      </c>
      <c r="L126">
        <v>363</v>
      </c>
      <c r="M126">
        <v>218</v>
      </c>
      <c r="N126" t="s">
        <v>20</v>
      </c>
      <c r="O126">
        <v>408</v>
      </c>
    </row>
    <row r="127" spans="1:15" x14ac:dyDescent="0.3">
      <c r="A127">
        <v>126</v>
      </c>
      <c r="B127" t="s">
        <v>161</v>
      </c>
      <c r="C127">
        <v>43</v>
      </c>
      <c r="D127" t="s">
        <v>16</v>
      </c>
      <c r="E127" t="s">
        <v>17</v>
      </c>
      <c r="F127" t="s">
        <v>31</v>
      </c>
      <c r="G127" t="s">
        <v>19</v>
      </c>
      <c r="H127">
        <v>4</v>
      </c>
      <c r="I127">
        <v>6800</v>
      </c>
      <c r="J127" s="1">
        <v>44893</v>
      </c>
      <c r="K127" s="1">
        <v>44901</v>
      </c>
      <c r="L127">
        <v>164</v>
      </c>
      <c r="M127">
        <v>543</v>
      </c>
      <c r="N127" t="s">
        <v>20</v>
      </c>
      <c r="O127">
        <v>8</v>
      </c>
    </row>
    <row r="128" spans="1:15" x14ac:dyDescent="0.3">
      <c r="A128">
        <v>127</v>
      </c>
      <c r="B128" t="s">
        <v>162</v>
      </c>
      <c r="C128">
        <v>54</v>
      </c>
      <c r="D128" t="s">
        <v>38</v>
      </c>
      <c r="E128" t="s">
        <v>17</v>
      </c>
      <c r="F128" t="s">
        <v>31</v>
      </c>
      <c r="G128" t="s">
        <v>33</v>
      </c>
      <c r="H128">
        <v>2</v>
      </c>
      <c r="I128">
        <v>1200</v>
      </c>
      <c r="J128" s="1">
        <v>45049</v>
      </c>
      <c r="K128" s="1">
        <v>45278</v>
      </c>
      <c r="L128">
        <v>106</v>
      </c>
      <c r="M128">
        <v>166</v>
      </c>
      <c r="N128" t="s">
        <v>47</v>
      </c>
      <c r="O128">
        <v>229</v>
      </c>
    </row>
    <row r="129" spans="1:15" x14ac:dyDescent="0.3">
      <c r="A129">
        <v>128</v>
      </c>
      <c r="B129" t="s">
        <v>163</v>
      </c>
      <c r="C129">
        <v>23</v>
      </c>
      <c r="D129" t="s">
        <v>16</v>
      </c>
      <c r="E129" t="s">
        <v>36</v>
      </c>
      <c r="F129" t="s">
        <v>31</v>
      </c>
      <c r="G129" t="s">
        <v>27</v>
      </c>
      <c r="H129">
        <v>9</v>
      </c>
      <c r="I129">
        <v>134100</v>
      </c>
      <c r="J129" s="1">
        <v>45031</v>
      </c>
      <c r="K129" s="1">
        <v>45360</v>
      </c>
      <c r="L129">
        <v>279</v>
      </c>
      <c r="M129">
        <v>84</v>
      </c>
      <c r="N129" t="s">
        <v>47</v>
      </c>
      <c r="O129">
        <v>329</v>
      </c>
    </row>
    <row r="130" spans="1:15" x14ac:dyDescent="0.3">
      <c r="A130">
        <v>129</v>
      </c>
      <c r="B130" t="s">
        <v>164</v>
      </c>
      <c r="C130">
        <v>64</v>
      </c>
      <c r="D130" t="s">
        <v>63</v>
      </c>
      <c r="E130" t="s">
        <v>36</v>
      </c>
      <c r="F130" t="s">
        <v>26</v>
      </c>
      <c r="G130" t="s">
        <v>33</v>
      </c>
      <c r="H130">
        <v>2</v>
      </c>
      <c r="I130">
        <v>42200</v>
      </c>
      <c r="J130" s="1">
        <v>45016</v>
      </c>
      <c r="K130" s="1">
        <v>45053</v>
      </c>
      <c r="L130">
        <v>30</v>
      </c>
      <c r="M130">
        <v>391</v>
      </c>
      <c r="N130" t="s">
        <v>20</v>
      </c>
      <c r="O130">
        <v>37</v>
      </c>
    </row>
    <row r="131" spans="1:15" x14ac:dyDescent="0.3">
      <c r="A131">
        <v>130</v>
      </c>
      <c r="B131" t="s">
        <v>165</v>
      </c>
      <c r="C131">
        <v>38</v>
      </c>
      <c r="D131" t="s">
        <v>29</v>
      </c>
      <c r="E131" t="s">
        <v>25</v>
      </c>
      <c r="F131" t="s">
        <v>23</v>
      </c>
      <c r="G131" t="s">
        <v>19</v>
      </c>
      <c r="H131">
        <v>10</v>
      </c>
      <c r="I131">
        <v>36000</v>
      </c>
      <c r="J131" s="1">
        <v>45161</v>
      </c>
      <c r="K131" s="1">
        <v>45441</v>
      </c>
      <c r="L131">
        <v>1300</v>
      </c>
      <c r="M131">
        <v>3</v>
      </c>
      <c r="N131" t="s">
        <v>47</v>
      </c>
      <c r="O131">
        <v>280</v>
      </c>
    </row>
    <row r="132" spans="1:15" x14ac:dyDescent="0.3">
      <c r="A132">
        <v>131</v>
      </c>
      <c r="B132" t="s">
        <v>166</v>
      </c>
      <c r="C132">
        <v>59</v>
      </c>
      <c r="D132" t="s">
        <v>22</v>
      </c>
      <c r="E132" t="s">
        <v>30</v>
      </c>
      <c r="F132" t="s">
        <v>26</v>
      </c>
      <c r="G132" t="s">
        <v>27</v>
      </c>
      <c r="H132">
        <v>7</v>
      </c>
      <c r="I132">
        <v>26600</v>
      </c>
      <c r="J132" s="1">
        <v>44679</v>
      </c>
      <c r="K132" s="1">
        <v>45115</v>
      </c>
      <c r="L132">
        <v>315</v>
      </c>
      <c r="M132">
        <v>329</v>
      </c>
      <c r="N132" t="s">
        <v>20</v>
      </c>
      <c r="O132">
        <v>436</v>
      </c>
    </row>
    <row r="133" spans="1:15" x14ac:dyDescent="0.3">
      <c r="A133">
        <v>132</v>
      </c>
      <c r="B133" t="s">
        <v>167</v>
      </c>
      <c r="C133">
        <v>47</v>
      </c>
      <c r="D133" t="s">
        <v>40</v>
      </c>
      <c r="E133" t="s">
        <v>36</v>
      </c>
      <c r="F133" t="s">
        <v>26</v>
      </c>
      <c r="G133" t="s">
        <v>19</v>
      </c>
      <c r="H133">
        <v>6</v>
      </c>
      <c r="I133">
        <v>119400</v>
      </c>
      <c r="J133" s="1">
        <v>44970</v>
      </c>
      <c r="K133" s="1">
        <v>45182</v>
      </c>
      <c r="L133">
        <v>96</v>
      </c>
      <c r="M133">
        <v>262</v>
      </c>
      <c r="N133" t="s">
        <v>20</v>
      </c>
      <c r="O133">
        <v>212</v>
      </c>
    </row>
    <row r="134" spans="1:15" x14ac:dyDescent="0.3">
      <c r="A134">
        <v>133</v>
      </c>
      <c r="B134" t="s">
        <v>168</v>
      </c>
      <c r="C134">
        <v>44</v>
      </c>
      <c r="D134" t="s">
        <v>29</v>
      </c>
      <c r="E134" t="s">
        <v>36</v>
      </c>
      <c r="F134" t="s">
        <v>18</v>
      </c>
      <c r="G134" t="s">
        <v>19</v>
      </c>
      <c r="H134">
        <v>3</v>
      </c>
      <c r="I134">
        <v>61500</v>
      </c>
      <c r="J134" s="1">
        <v>44630</v>
      </c>
      <c r="K134" s="1">
        <v>44676</v>
      </c>
      <c r="L134">
        <v>1785</v>
      </c>
      <c r="M134">
        <v>768</v>
      </c>
      <c r="N134" t="s">
        <v>20</v>
      </c>
      <c r="O134">
        <v>46</v>
      </c>
    </row>
    <row r="135" spans="1:15" x14ac:dyDescent="0.3">
      <c r="A135">
        <v>134</v>
      </c>
      <c r="B135" t="s">
        <v>169</v>
      </c>
      <c r="C135">
        <v>29</v>
      </c>
      <c r="D135" t="s">
        <v>16</v>
      </c>
      <c r="E135" t="s">
        <v>36</v>
      </c>
      <c r="F135" t="s">
        <v>23</v>
      </c>
      <c r="G135" t="s">
        <v>19</v>
      </c>
      <c r="H135">
        <v>9</v>
      </c>
      <c r="I135">
        <v>63000</v>
      </c>
      <c r="J135" s="1">
        <v>45162</v>
      </c>
      <c r="K135" s="1">
        <v>45651</v>
      </c>
      <c r="L135">
        <v>1305</v>
      </c>
      <c r="M135">
        <v>-207</v>
      </c>
      <c r="N135" t="s">
        <v>47</v>
      </c>
      <c r="O135">
        <v>489</v>
      </c>
    </row>
    <row r="136" spans="1:15" x14ac:dyDescent="0.3">
      <c r="A136">
        <v>135</v>
      </c>
      <c r="B136" t="s">
        <v>170</v>
      </c>
      <c r="C136">
        <v>63</v>
      </c>
      <c r="D136" t="s">
        <v>29</v>
      </c>
      <c r="E136" t="s">
        <v>17</v>
      </c>
      <c r="F136" t="s">
        <v>26</v>
      </c>
      <c r="G136" t="s">
        <v>19</v>
      </c>
      <c r="H136">
        <v>7</v>
      </c>
      <c r="I136">
        <v>14000</v>
      </c>
      <c r="J136" s="1">
        <v>44614</v>
      </c>
      <c r="K136" s="1">
        <v>45109</v>
      </c>
      <c r="L136">
        <v>196</v>
      </c>
      <c r="M136">
        <v>335</v>
      </c>
      <c r="N136" t="s">
        <v>20</v>
      </c>
      <c r="O136">
        <v>495</v>
      </c>
    </row>
    <row r="137" spans="1:15" x14ac:dyDescent="0.3">
      <c r="A137">
        <v>136</v>
      </c>
      <c r="B137" t="s">
        <v>171</v>
      </c>
      <c r="C137">
        <v>53</v>
      </c>
      <c r="D137" t="s">
        <v>38</v>
      </c>
      <c r="E137" t="s">
        <v>30</v>
      </c>
      <c r="F137" t="s">
        <v>23</v>
      </c>
      <c r="G137" t="s">
        <v>27</v>
      </c>
      <c r="H137">
        <v>4</v>
      </c>
      <c r="I137">
        <v>17200</v>
      </c>
      <c r="J137" s="1">
        <v>45055</v>
      </c>
      <c r="K137" s="1">
        <v>45169</v>
      </c>
      <c r="L137">
        <v>464</v>
      </c>
      <c r="M137">
        <v>275</v>
      </c>
      <c r="N137" t="s">
        <v>20</v>
      </c>
      <c r="O137">
        <v>114</v>
      </c>
    </row>
    <row r="138" spans="1:15" x14ac:dyDescent="0.3">
      <c r="A138">
        <v>137</v>
      </c>
      <c r="B138" t="s">
        <v>172</v>
      </c>
      <c r="C138">
        <v>57</v>
      </c>
      <c r="D138" t="s">
        <v>29</v>
      </c>
      <c r="E138" t="s">
        <v>30</v>
      </c>
      <c r="F138" t="s">
        <v>23</v>
      </c>
      <c r="G138" t="s">
        <v>19</v>
      </c>
      <c r="H138">
        <v>4</v>
      </c>
      <c r="I138">
        <v>38400</v>
      </c>
      <c r="J138" s="1">
        <v>45001</v>
      </c>
      <c r="K138" s="1">
        <v>45433</v>
      </c>
      <c r="L138">
        <v>580</v>
      </c>
      <c r="M138">
        <v>11</v>
      </c>
      <c r="N138" t="s">
        <v>47</v>
      </c>
      <c r="O138">
        <v>432</v>
      </c>
    </row>
    <row r="139" spans="1:15" x14ac:dyDescent="0.3">
      <c r="A139">
        <v>138</v>
      </c>
      <c r="B139" t="s">
        <v>173</v>
      </c>
      <c r="C139">
        <v>38</v>
      </c>
      <c r="D139" t="s">
        <v>63</v>
      </c>
      <c r="E139" t="s">
        <v>30</v>
      </c>
      <c r="F139" t="s">
        <v>23</v>
      </c>
      <c r="G139" t="s">
        <v>19</v>
      </c>
      <c r="H139">
        <v>5</v>
      </c>
      <c r="I139">
        <v>29000</v>
      </c>
      <c r="J139" s="1">
        <v>44921</v>
      </c>
      <c r="K139" s="1">
        <v>44924</v>
      </c>
      <c r="L139">
        <v>605</v>
      </c>
      <c r="M139">
        <v>520</v>
      </c>
      <c r="N139" t="s">
        <v>20</v>
      </c>
      <c r="O139">
        <v>3</v>
      </c>
    </row>
    <row r="140" spans="1:15" x14ac:dyDescent="0.3">
      <c r="A140">
        <v>139</v>
      </c>
      <c r="B140" t="s">
        <v>174</v>
      </c>
      <c r="C140">
        <v>61</v>
      </c>
      <c r="D140" t="s">
        <v>52</v>
      </c>
      <c r="E140" t="s">
        <v>36</v>
      </c>
      <c r="F140" t="s">
        <v>23</v>
      </c>
      <c r="G140" t="s">
        <v>19</v>
      </c>
      <c r="H140">
        <v>1</v>
      </c>
      <c r="I140">
        <v>8000</v>
      </c>
      <c r="J140" s="1">
        <v>45105</v>
      </c>
      <c r="K140" s="1">
        <v>45215</v>
      </c>
      <c r="L140">
        <v>134</v>
      </c>
      <c r="M140">
        <v>229</v>
      </c>
      <c r="N140" t="s">
        <v>20</v>
      </c>
      <c r="O140">
        <v>110</v>
      </c>
    </row>
    <row r="141" spans="1:15" x14ac:dyDescent="0.3">
      <c r="A141">
        <v>140</v>
      </c>
      <c r="B141" t="s">
        <v>175</v>
      </c>
      <c r="C141">
        <v>44</v>
      </c>
      <c r="D141" t="s">
        <v>22</v>
      </c>
      <c r="E141" t="s">
        <v>36</v>
      </c>
      <c r="F141" t="s">
        <v>18</v>
      </c>
      <c r="G141" t="s">
        <v>19</v>
      </c>
      <c r="H141">
        <v>5</v>
      </c>
      <c r="I141">
        <v>78000</v>
      </c>
      <c r="J141" s="1">
        <v>45143</v>
      </c>
      <c r="K141" s="1">
        <v>45448</v>
      </c>
      <c r="L141">
        <v>2975</v>
      </c>
      <c r="M141">
        <v>-4</v>
      </c>
      <c r="N141" t="s">
        <v>47</v>
      </c>
      <c r="O141">
        <v>305</v>
      </c>
    </row>
    <row r="142" spans="1:15" x14ac:dyDescent="0.3">
      <c r="A142">
        <v>141</v>
      </c>
      <c r="B142" t="s">
        <v>176</v>
      </c>
      <c r="C142">
        <v>24</v>
      </c>
      <c r="D142" t="s">
        <v>63</v>
      </c>
      <c r="E142" t="s">
        <v>25</v>
      </c>
      <c r="F142" t="s">
        <v>31</v>
      </c>
      <c r="G142" t="s">
        <v>27</v>
      </c>
      <c r="H142">
        <v>2</v>
      </c>
      <c r="I142">
        <v>4200</v>
      </c>
      <c r="J142" s="1">
        <v>45015</v>
      </c>
      <c r="K142" s="1">
        <v>45353</v>
      </c>
      <c r="L142">
        <v>114</v>
      </c>
      <c r="M142">
        <v>91</v>
      </c>
      <c r="N142" t="s">
        <v>47</v>
      </c>
      <c r="O142">
        <v>338</v>
      </c>
    </row>
    <row r="143" spans="1:15" x14ac:dyDescent="0.3">
      <c r="A143">
        <v>142</v>
      </c>
      <c r="B143" t="s">
        <v>177</v>
      </c>
      <c r="C143">
        <v>34</v>
      </c>
      <c r="D143" t="s">
        <v>46</v>
      </c>
      <c r="E143" t="s">
        <v>36</v>
      </c>
      <c r="F143" t="s">
        <v>26</v>
      </c>
      <c r="G143" t="s">
        <v>19</v>
      </c>
      <c r="H143">
        <v>9</v>
      </c>
      <c r="I143">
        <v>78300</v>
      </c>
      <c r="J143" s="1">
        <v>44915</v>
      </c>
      <c r="K143" s="1">
        <v>45135</v>
      </c>
      <c r="L143">
        <v>153</v>
      </c>
      <c r="M143">
        <v>309</v>
      </c>
      <c r="N143" t="s">
        <v>20</v>
      </c>
      <c r="O143">
        <v>220</v>
      </c>
    </row>
    <row r="144" spans="1:15" x14ac:dyDescent="0.3">
      <c r="A144">
        <v>143</v>
      </c>
      <c r="B144" t="s">
        <v>178</v>
      </c>
      <c r="C144">
        <v>35</v>
      </c>
      <c r="D144" t="s">
        <v>38</v>
      </c>
      <c r="E144" t="s">
        <v>36</v>
      </c>
      <c r="F144" t="s">
        <v>18</v>
      </c>
      <c r="G144" t="s">
        <v>19</v>
      </c>
      <c r="H144">
        <v>7</v>
      </c>
      <c r="I144">
        <v>172200</v>
      </c>
      <c r="J144" s="1">
        <v>44618</v>
      </c>
      <c r="K144" s="1">
        <v>44621</v>
      </c>
      <c r="L144">
        <v>4221</v>
      </c>
      <c r="M144">
        <v>823</v>
      </c>
      <c r="N144" t="s">
        <v>20</v>
      </c>
      <c r="O144">
        <v>3</v>
      </c>
    </row>
    <row r="145" spans="1:15" x14ac:dyDescent="0.3">
      <c r="A145">
        <v>144</v>
      </c>
      <c r="B145" t="s">
        <v>179</v>
      </c>
      <c r="C145">
        <v>39</v>
      </c>
      <c r="D145" t="s">
        <v>38</v>
      </c>
      <c r="E145" t="s">
        <v>25</v>
      </c>
      <c r="F145" t="s">
        <v>31</v>
      </c>
      <c r="G145" t="s">
        <v>19</v>
      </c>
      <c r="H145">
        <v>6</v>
      </c>
      <c r="I145">
        <v>9000</v>
      </c>
      <c r="J145" s="1">
        <v>44569</v>
      </c>
      <c r="K145" s="1">
        <v>44823</v>
      </c>
      <c r="L145">
        <v>342</v>
      </c>
      <c r="M145">
        <v>621</v>
      </c>
      <c r="N145" t="s">
        <v>20</v>
      </c>
      <c r="O145">
        <v>254</v>
      </c>
    </row>
    <row r="146" spans="1:15" x14ac:dyDescent="0.3">
      <c r="A146">
        <v>145</v>
      </c>
      <c r="B146" t="s">
        <v>180</v>
      </c>
      <c r="C146">
        <v>35</v>
      </c>
      <c r="D146" t="s">
        <v>52</v>
      </c>
      <c r="E146" t="s">
        <v>25</v>
      </c>
      <c r="F146" t="s">
        <v>26</v>
      </c>
      <c r="G146" t="s">
        <v>27</v>
      </c>
      <c r="H146">
        <v>9</v>
      </c>
      <c r="I146">
        <v>29700</v>
      </c>
      <c r="J146" s="1">
        <v>44924</v>
      </c>
      <c r="K146" s="1">
        <v>44960</v>
      </c>
      <c r="L146">
        <v>315</v>
      </c>
      <c r="M146">
        <v>484</v>
      </c>
      <c r="N146" t="s">
        <v>20</v>
      </c>
      <c r="O146">
        <v>36</v>
      </c>
    </row>
    <row r="147" spans="1:15" x14ac:dyDescent="0.3">
      <c r="A147">
        <v>146</v>
      </c>
      <c r="B147" t="s">
        <v>181</v>
      </c>
      <c r="C147">
        <v>25</v>
      </c>
      <c r="D147" t="s">
        <v>63</v>
      </c>
      <c r="E147" t="s">
        <v>36</v>
      </c>
      <c r="F147" t="s">
        <v>23</v>
      </c>
      <c r="G147" t="s">
        <v>33</v>
      </c>
      <c r="H147">
        <v>6</v>
      </c>
      <c r="I147">
        <v>143400</v>
      </c>
      <c r="J147" s="1">
        <v>45001</v>
      </c>
      <c r="K147" s="1">
        <v>45294</v>
      </c>
      <c r="L147">
        <v>810</v>
      </c>
      <c r="M147">
        <v>150</v>
      </c>
      <c r="N147" t="s">
        <v>47</v>
      </c>
      <c r="O147">
        <v>293</v>
      </c>
    </row>
    <row r="148" spans="1:15" x14ac:dyDescent="0.3">
      <c r="A148">
        <v>147</v>
      </c>
      <c r="B148" t="s">
        <v>182</v>
      </c>
      <c r="C148">
        <v>22</v>
      </c>
      <c r="D148" t="s">
        <v>22</v>
      </c>
      <c r="E148" t="s">
        <v>30</v>
      </c>
      <c r="F148" t="s">
        <v>23</v>
      </c>
      <c r="G148" t="s">
        <v>33</v>
      </c>
      <c r="H148">
        <v>6</v>
      </c>
      <c r="I148">
        <v>26400</v>
      </c>
      <c r="J148" s="1">
        <v>45033</v>
      </c>
      <c r="K148" s="1">
        <v>45458</v>
      </c>
      <c r="L148">
        <v>798</v>
      </c>
      <c r="M148">
        <v>-14</v>
      </c>
      <c r="N148" t="s">
        <v>47</v>
      </c>
      <c r="O148">
        <v>425</v>
      </c>
    </row>
    <row r="149" spans="1:15" x14ac:dyDescent="0.3">
      <c r="A149">
        <v>148</v>
      </c>
      <c r="B149" t="s">
        <v>183</v>
      </c>
      <c r="C149">
        <v>48</v>
      </c>
      <c r="D149" t="s">
        <v>16</v>
      </c>
      <c r="E149" t="s">
        <v>36</v>
      </c>
      <c r="F149" t="s">
        <v>23</v>
      </c>
      <c r="G149" t="s">
        <v>19</v>
      </c>
      <c r="H149">
        <v>10</v>
      </c>
      <c r="I149">
        <v>181000</v>
      </c>
      <c r="J149" s="1">
        <v>45098</v>
      </c>
      <c r="K149" s="1">
        <v>45138</v>
      </c>
      <c r="L149">
        <v>1350</v>
      </c>
      <c r="M149">
        <v>306</v>
      </c>
      <c r="N149" t="s">
        <v>20</v>
      </c>
      <c r="O149">
        <v>40</v>
      </c>
    </row>
    <row r="150" spans="1:15" x14ac:dyDescent="0.3">
      <c r="A150">
        <v>149</v>
      </c>
      <c r="B150" t="s">
        <v>184</v>
      </c>
      <c r="C150">
        <v>31</v>
      </c>
      <c r="D150" t="s">
        <v>38</v>
      </c>
      <c r="E150" t="s">
        <v>30</v>
      </c>
      <c r="F150" t="s">
        <v>31</v>
      </c>
      <c r="G150" t="s">
        <v>19</v>
      </c>
      <c r="H150">
        <v>2</v>
      </c>
      <c r="I150">
        <v>14400</v>
      </c>
      <c r="J150" s="1">
        <v>44678</v>
      </c>
      <c r="K150" s="1">
        <v>44949</v>
      </c>
      <c r="L150">
        <v>124</v>
      </c>
      <c r="M150">
        <v>495</v>
      </c>
      <c r="N150" t="s">
        <v>20</v>
      </c>
      <c r="O150">
        <v>271</v>
      </c>
    </row>
    <row r="151" spans="1:15" x14ac:dyDescent="0.3">
      <c r="A151">
        <v>150</v>
      </c>
      <c r="B151" t="s">
        <v>185</v>
      </c>
      <c r="C151">
        <v>36</v>
      </c>
      <c r="D151" t="s">
        <v>40</v>
      </c>
      <c r="E151" t="s">
        <v>30</v>
      </c>
      <c r="F151" t="s">
        <v>18</v>
      </c>
      <c r="G151" t="s">
        <v>19</v>
      </c>
      <c r="H151">
        <v>2</v>
      </c>
      <c r="I151">
        <v>8400</v>
      </c>
      <c r="J151" s="1">
        <v>44824</v>
      </c>
      <c r="K151" s="1">
        <v>44925</v>
      </c>
      <c r="L151">
        <v>1202</v>
      </c>
      <c r="M151">
        <v>519</v>
      </c>
      <c r="N151" t="s">
        <v>20</v>
      </c>
      <c r="O151">
        <v>101</v>
      </c>
    </row>
    <row r="152" spans="1:15" x14ac:dyDescent="0.3">
      <c r="A152">
        <v>151</v>
      </c>
      <c r="B152" t="s">
        <v>186</v>
      </c>
      <c r="C152">
        <v>50</v>
      </c>
      <c r="D152" t="s">
        <v>52</v>
      </c>
      <c r="E152" t="s">
        <v>17</v>
      </c>
      <c r="F152" t="s">
        <v>31</v>
      </c>
      <c r="G152" t="s">
        <v>33</v>
      </c>
      <c r="H152">
        <v>10</v>
      </c>
      <c r="I152">
        <v>17000</v>
      </c>
      <c r="J152" s="1">
        <v>45021</v>
      </c>
      <c r="K152" s="1">
        <v>45369</v>
      </c>
      <c r="L152">
        <v>660</v>
      </c>
      <c r="M152">
        <v>75</v>
      </c>
      <c r="N152" t="s">
        <v>47</v>
      </c>
      <c r="O152">
        <v>348</v>
      </c>
    </row>
    <row r="153" spans="1:15" x14ac:dyDescent="0.3">
      <c r="A153">
        <v>152</v>
      </c>
      <c r="B153" t="s">
        <v>187</v>
      </c>
      <c r="C153">
        <v>25</v>
      </c>
      <c r="D153" t="s">
        <v>29</v>
      </c>
      <c r="E153" t="s">
        <v>30</v>
      </c>
      <c r="F153" t="s">
        <v>31</v>
      </c>
      <c r="G153" t="s">
        <v>33</v>
      </c>
      <c r="H153">
        <v>8</v>
      </c>
      <c r="I153">
        <v>52800</v>
      </c>
      <c r="J153" s="1">
        <v>44872</v>
      </c>
      <c r="K153" s="1">
        <v>45279</v>
      </c>
      <c r="L153">
        <v>376</v>
      </c>
      <c r="M153">
        <v>165</v>
      </c>
      <c r="N153" t="s">
        <v>47</v>
      </c>
      <c r="O153">
        <v>407</v>
      </c>
    </row>
    <row r="154" spans="1:15" x14ac:dyDescent="0.3">
      <c r="A154">
        <v>153</v>
      </c>
      <c r="B154" t="s">
        <v>188</v>
      </c>
      <c r="C154">
        <v>50</v>
      </c>
      <c r="D154" t="s">
        <v>63</v>
      </c>
      <c r="E154" t="s">
        <v>30</v>
      </c>
      <c r="F154" t="s">
        <v>23</v>
      </c>
      <c r="G154" t="s">
        <v>19</v>
      </c>
      <c r="H154">
        <v>8</v>
      </c>
      <c r="I154">
        <v>26400</v>
      </c>
      <c r="J154" s="1">
        <v>44620</v>
      </c>
      <c r="K154" s="1">
        <v>44808</v>
      </c>
      <c r="L154">
        <v>1024</v>
      </c>
      <c r="M154">
        <v>636</v>
      </c>
      <c r="N154" t="s">
        <v>20</v>
      </c>
      <c r="O154">
        <v>188</v>
      </c>
    </row>
    <row r="155" spans="1:15" x14ac:dyDescent="0.3">
      <c r="A155">
        <v>154</v>
      </c>
      <c r="B155" t="s">
        <v>189</v>
      </c>
      <c r="C155">
        <v>58</v>
      </c>
      <c r="D155" t="s">
        <v>16</v>
      </c>
      <c r="E155" t="s">
        <v>17</v>
      </c>
      <c r="F155" t="s">
        <v>26</v>
      </c>
      <c r="G155" t="s">
        <v>33</v>
      </c>
      <c r="H155">
        <v>9</v>
      </c>
      <c r="I155">
        <v>5400</v>
      </c>
      <c r="J155" s="1">
        <v>45022</v>
      </c>
      <c r="K155" s="1">
        <v>45487</v>
      </c>
      <c r="L155">
        <v>414</v>
      </c>
      <c r="M155">
        <v>-43</v>
      </c>
      <c r="N155" t="s">
        <v>47</v>
      </c>
      <c r="O155">
        <v>465</v>
      </c>
    </row>
    <row r="156" spans="1:15" x14ac:dyDescent="0.3">
      <c r="A156">
        <v>155</v>
      </c>
      <c r="B156" t="s">
        <v>190</v>
      </c>
      <c r="C156">
        <v>30</v>
      </c>
      <c r="D156" t="s">
        <v>40</v>
      </c>
      <c r="E156" t="s">
        <v>30</v>
      </c>
      <c r="F156" t="s">
        <v>26</v>
      </c>
      <c r="G156" t="s">
        <v>27</v>
      </c>
      <c r="H156">
        <v>1</v>
      </c>
      <c r="I156">
        <v>6700</v>
      </c>
      <c r="J156" s="1">
        <v>44667</v>
      </c>
      <c r="K156" s="1">
        <v>45082</v>
      </c>
      <c r="L156">
        <v>31</v>
      </c>
      <c r="M156">
        <v>362</v>
      </c>
      <c r="N156" t="s">
        <v>20</v>
      </c>
      <c r="O156">
        <v>415</v>
      </c>
    </row>
    <row r="157" spans="1:15" x14ac:dyDescent="0.3">
      <c r="A157">
        <v>156</v>
      </c>
      <c r="B157" t="s">
        <v>191</v>
      </c>
      <c r="C157">
        <v>49</v>
      </c>
      <c r="D157" t="s">
        <v>16</v>
      </c>
      <c r="E157" t="s">
        <v>25</v>
      </c>
      <c r="F157" t="s">
        <v>23</v>
      </c>
      <c r="G157" t="s">
        <v>19</v>
      </c>
      <c r="H157">
        <v>8</v>
      </c>
      <c r="I157">
        <v>24800</v>
      </c>
      <c r="J157" s="1">
        <v>45097</v>
      </c>
      <c r="K157" s="1">
        <v>45409</v>
      </c>
      <c r="L157">
        <v>960</v>
      </c>
      <c r="M157">
        <v>35</v>
      </c>
      <c r="N157" t="s">
        <v>47</v>
      </c>
      <c r="O157">
        <v>312</v>
      </c>
    </row>
    <row r="158" spans="1:15" x14ac:dyDescent="0.3">
      <c r="A158">
        <v>157</v>
      </c>
      <c r="B158" t="s">
        <v>192</v>
      </c>
      <c r="C158">
        <v>47</v>
      </c>
      <c r="D158" t="s">
        <v>29</v>
      </c>
      <c r="E158" t="s">
        <v>30</v>
      </c>
      <c r="F158" t="s">
        <v>18</v>
      </c>
      <c r="G158" t="s">
        <v>33</v>
      </c>
      <c r="H158">
        <v>6</v>
      </c>
      <c r="I158">
        <v>51600</v>
      </c>
      <c r="J158" s="1">
        <v>44615</v>
      </c>
      <c r="K158" s="1">
        <v>45019</v>
      </c>
      <c r="L158">
        <v>3780</v>
      </c>
      <c r="M158">
        <v>425</v>
      </c>
      <c r="N158" t="s">
        <v>20</v>
      </c>
      <c r="O158">
        <v>404</v>
      </c>
    </row>
    <row r="159" spans="1:15" x14ac:dyDescent="0.3">
      <c r="A159">
        <v>158</v>
      </c>
      <c r="B159" t="s">
        <v>193</v>
      </c>
      <c r="C159">
        <v>56</v>
      </c>
      <c r="D159" t="s">
        <v>29</v>
      </c>
      <c r="E159" t="s">
        <v>17</v>
      </c>
      <c r="F159" t="s">
        <v>18</v>
      </c>
      <c r="G159" t="s">
        <v>19</v>
      </c>
      <c r="H159">
        <v>7</v>
      </c>
      <c r="I159">
        <v>7700</v>
      </c>
      <c r="J159" s="1">
        <v>44820</v>
      </c>
      <c r="K159" s="1">
        <v>45190</v>
      </c>
      <c r="L159">
        <v>4396</v>
      </c>
      <c r="M159">
        <v>254</v>
      </c>
      <c r="N159" t="s">
        <v>20</v>
      </c>
      <c r="O159">
        <v>370</v>
      </c>
    </row>
    <row r="160" spans="1:15" x14ac:dyDescent="0.3">
      <c r="A160">
        <v>159</v>
      </c>
      <c r="B160" t="s">
        <v>194</v>
      </c>
      <c r="C160">
        <v>63</v>
      </c>
      <c r="D160" t="s">
        <v>52</v>
      </c>
      <c r="E160" t="s">
        <v>30</v>
      </c>
      <c r="F160" t="s">
        <v>23</v>
      </c>
      <c r="G160" t="s">
        <v>27</v>
      </c>
      <c r="H160">
        <v>3</v>
      </c>
      <c r="I160">
        <v>17700</v>
      </c>
      <c r="J160" s="1">
        <v>44879</v>
      </c>
      <c r="K160" s="1">
        <v>45374</v>
      </c>
      <c r="L160">
        <v>405</v>
      </c>
      <c r="M160">
        <v>70</v>
      </c>
      <c r="N160" t="s">
        <v>47</v>
      </c>
      <c r="O160">
        <v>495</v>
      </c>
    </row>
    <row r="161" spans="1:15" x14ac:dyDescent="0.3">
      <c r="A161">
        <v>160</v>
      </c>
      <c r="B161" t="s">
        <v>195</v>
      </c>
      <c r="C161">
        <v>45</v>
      </c>
      <c r="D161" t="s">
        <v>52</v>
      </c>
      <c r="E161" t="s">
        <v>17</v>
      </c>
      <c r="F161" t="s">
        <v>18</v>
      </c>
      <c r="G161" t="s">
        <v>27</v>
      </c>
      <c r="H161">
        <v>6</v>
      </c>
      <c r="I161">
        <v>4800</v>
      </c>
      <c r="J161" s="1">
        <v>45101</v>
      </c>
      <c r="K161" s="1">
        <v>45148</v>
      </c>
      <c r="L161">
        <v>3702</v>
      </c>
      <c r="M161">
        <v>296</v>
      </c>
      <c r="N161" t="s">
        <v>20</v>
      </c>
      <c r="O161">
        <v>47</v>
      </c>
    </row>
    <row r="162" spans="1:15" x14ac:dyDescent="0.3">
      <c r="A162">
        <v>161</v>
      </c>
      <c r="B162" t="s">
        <v>196</v>
      </c>
      <c r="C162">
        <v>32</v>
      </c>
      <c r="D162" t="s">
        <v>29</v>
      </c>
      <c r="E162" t="s">
        <v>17</v>
      </c>
      <c r="F162" t="s">
        <v>18</v>
      </c>
      <c r="G162" t="s">
        <v>19</v>
      </c>
      <c r="H162">
        <v>4</v>
      </c>
      <c r="I162">
        <v>4800</v>
      </c>
      <c r="J162" s="1">
        <v>45059</v>
      </c>
      <c r="K162" s="1">
        <v>45157</v>
      </c>
      <c r="L162">
        <v>2416</v>
      </c>
      <c r="M162">
        <v>287</v>
      </c>
      <c r="N162" t="s">
        <v>20</v>
      </c>
      <c r="O162">
        <v>98</v>
      </c>
    </row>
    <row r="163" spans="1:15" x14ac:dyDescent="0.3">
      <c r="A163">
        <v>162</v>
      </c>
      <c r="B163" t="s">
        <v>197</v>
      </c>
      <c r="C163">
        <v>27</v>
      </c>
      <c r="D163" t="s">
        <v>52</v>
      </c>
      <c r="E163" t="s">
        <v>25</v>
      </c>
      <c r="F163" t="s">
        <v>23</v>
      </c>
      <c r="G163" t="s">
        <v>19</v>
      </c>
      <c r="H163">
        <v>9</v>
      </c>
      <c r="I163">
        <v>37800</v>
      </c>
      <c r="J163" s="1">
        <v>45114</v>
      </c>
      <c r="K163" s="1">
        <v>45541</v>
      </c>
      <c r="L163">
        <v>1287</v>
      </c>
      <c r="M163">
        <v>-97</v>
      </c>
      <c r="N163" t="s">
        <v>47</v>
      </c>
      <c r="O163">
        <v>427</v>
      </c>
    </row>
    <row r="164" spans="1:15" x14ac:dyDescent="0.3">
      <c r="A164">
        <v>163</v>
      </c>
      <c r="B164" t="s">
        <v>198</v>
      </c>
      <c r="C164">
        <v>45</v>
      </c>
      <c r="D164" t="s">
        <v>63</v>
      </c>
      <c r="E164" t="s">
        <v>30</v>
      </c>
      <c r="F164" t="s">
        <v>31</v>
      </c>
      <c r="G164" t="s">
        <v>27</v>
      </c>
      <c r="H164">
        <v>3</v>
      </c>
      <c r="I164">
        <v>12900</v>
      </c>
      <c r="J164" s="1">
        <v>44747</v>
      </c>
      <c r="K164" s="1">
        <v>45172</v>
      </c>
      <c r="L164">
        <v>207</v>
      </c>
      <c r="M164">
        <v>272</v>
      </c>
      <c r="N164" t="s">
        <v>20</v>
      </c>
      <c r="O164">
        <v>425</v>
      </c>
    </row>
    <row r="165" spans="1:15" x14ac:dyDescent="0.3">
      <c r="A165">
        <v>164</v>
      </c>
      <c r="B165" t="s">
        <v>199</v>
      </c>
      <c r="C165">
        <v>44</v>
      </c>
      <c r="D165" t="s">
        <v>52</v>
      </c>
      <c r="E165" t="s">
        <v>36</v>
      </c>
      <c r="F165" t="s">
        <v>23</v>
      </c>
      <c r="G165" t="s">
        <v>33</v>
      </c>
      <c r="H165">
        <v>4</v>
      </c>
      <c r="I165">
        <v>78400</v>
      </c>
      <c r="J165" s="1">
        <v>44853</v>
      </c>
      <c r="K165" s="1">
        <v>45238</v>
      </c>
      <c r="L165">
        <v>552</v>
      </c>
      <c r="M165">
        <v>206</v>
      </c>
      <c r="N165" t="s">
        <v>20</v>
      </c>
      <c r="O165">
        <v>385</v>
      </c>
    </row>
    <row r="166" spans="1:15" x14ac:dyDescent="0.3">
      <c r="A166">
        <v>165</v>
      </c>
      <c r="B166" t="s">
        <v>200</v>
      </c>
      <c r="C166">
        <v>33</v>
      </c>
      <c r="D166" t="s">
        <v>40</v>
      </c>
      <c r="E166" t="s">
        <v>25</v>
      </c>
      <c r="F166" t="s">
        <v>18</v>
      </c>
      <c r="G166" t="s">
        <v>33</v>
      </c>
      <c r="H166">
        <v>6</v>
      </c>
      <c r="I166">
        <v>22800</v>
      </c>
      <c r="J166" s="1">
        <v>45146</v>
      </c>
      <c r="K166" s="1">
        <v>45371</v>
      </c>
      <c r="L166">
        <v>3714</v>
      </c>
      <c r="M166">
        <v>73</v>
      </c>
      <c r="N166" t="s">
        <v>47</v>
      </c>
      <c r="O166">
        <v>225</v>
      </c>
    </row>
    <row r="167" spans="1:15" x14ac:dyDescent="0.3">
      <c r="A167">
        <v>166</v>
      </c>
      <c r="B167" t="s">
        <v>201</v>
      </c>
      <c r="C167">
        <v>33</v>
      </c>
      <c r="D167" t="s">
        <v>38</v>
      </c>
      <c r="E167" t="s">
        <v>36</v>
      </c>
      <c r="F167" t="s">
        <v>26</v>
      </c>
      <c r="G167" t="s">
        <v>19</v>
      </c>
      <c r="H167">
        <v>10</v>
      </c>
      <c r="I167">
        <v>95000</v>
      </c>
      <c r="J167" s="1">
        <v>44818</v>
      </c>
      <c r="K167" s="1">
        <v>44844</v>
      </c>
      <c r="L167">
        <v>400</v>
      </c>
      <c r="M167">
        <v>600</v>
      </c>
      <c r="N167" t="s">
        <v>20</v>
      </c>
      <c r="O167">
        <v>26</v>
      </c>
    </row>
    <row r="168" spans="1:15" x14ac:dyDescent="0.3">
      <c r="A168">
        <v>167</v>
      </c>
      <c r="B168" t="s">
        <v>202</v>
      </c>
      <c r="C168">
        <v>26</v>
      </c>
      <c r="D168" t="s">
        <v>29</v>
      </c>
      <c r="E168" t="s">
        <v>17</v>
      </c>
      <c r="F168" t="s">
        <v>23</v>
      </c>
      <c r="G168" t="s">
        <v>19</v>
      </c>
      <c r="H168">
        <v>3</v>
      </c>
      <c r="I168">
        <v>3300</v>
      </c>
      <c r="J168" s="1">
        <v>45022</v>
      </c>
      <c r="K168" s="1">
        <v>45485</v>
      </c>
      <c r="L168">
        <v>426</v>
      </c>
      <c r="M168">
        <v>-41</v>
      </c>
      <c r="N168" t="s">
        <v>47</v>
      </c>
      <c r="O168">
        <v>463</v>
      </c>
    </row>
    <row r="169" spans="1:15" x14ac:dyDescent="0.3">
      <c r="A169">
        <v>168</v>
      </c>
      <c r="B169" t="s">
        <v>203</v>
      </c>
      <c r="C169">
        <v>49</v>
      </c>
      <c r="D169" t="s">
        <v>52</v>
      </c>
      <c r="E169" t="s">
        <v>36</v>
      </c>
      <c r="F169" t="s">
        <v>23</v>
      </c>
      <c r="G169" t="s">
        <v>19</v>
      </c>
      <c r="H169">
        <v>6</v>
      </c>
      <c r="I169">
        <v>35400</v>
      </c>
      <c r="J169" s="1">
        <v>44986</v>
      </c>
      <c r="K169" s="1">
        <v>45013</v>
      </c>
      <c r="L169">
        <v>810</v>
      </c>
      <c r="M169">
        <v>431</v>
      </c>
      <c r="N169" t="s">
        <v>20</v>
      </c>
      <c r="O169">
        <v>27</v>
      </c>
    </row>
    <row r="170" spans="1:15" x14ac:dyDescent="0.3">
      <c r="A170">
        <v>169</v>
      </c>
      <c r="B170" t="s">
        <v>204</v>
      </c>
      <c r="C170">
        <v>44</v>
      </c>
      <c r="D170" t="s">
        <v>29</v>
      </c>
      <c r="E170" t="s">
        <v>25</v>
      </c>
      <c r="F170" t="s">
        <v>26</v>
      </c>
      <c r="G170" t="s">
        <v>19</v>
      </c>
      <c r="H170">
        <v>4</v>
      </c>
      <c r="I170">
        <v>4400</v>
      </c>
      <c r="J170" s="1">
        <v>44888</v>
      </c>
      <c r="K170" s="1">
        <v>45364</v>
      </c>
      <c r="L170">
        <v>64</v>
      </c>
      <c r="M170">
        <v>80</v>
      </c>
      <c r="N170" t="s">
        <v>47</v>
      </c>
      <c r="O170">
        <v>476</v>
      </c>
    </row>
    <row r="171" spans="1:15" x14ac:dyDescent="0.3">
      <c r="A171">
        <v>170</v>
      </c>
      <c r="B171" t="s">
        <v>205</v>
      </c>
      <c r="C171">
        <v>39</v>
      </c>
      <c r="D171" t="s">
        <v>29</v>
      </c>
      <c r="E171" t="s">
        <v>25</v>
      </c>
      <c r="F171" t="s">
        <v>31</v>
      </c>
      <c r="G171" t="s">
        <v>19</v>
      </c>
      <c r="H171">
        <v>8</v>
      </c>
      <c r="I171">
        <v>31200</v>
      </c>
      <c r="J171" s="1">
        <v>44704</v>
      </c>
      <c r="K171" s="1">
        <v>45092</v>
      </c>
      <c r="L171">
        <v>480</v>
      </c>
      <c r="M171">
        <v>352</v>
      </c>
      <c r="N171" t="s">
        <v>20</v>
      </c>
      <c r="O171">
        <v>388</v>
      </c>
    </row>
    <row r="172" spans="1:15" x14ac:dyDescent="0.3">
      <c r="A172">
        <v>171</v>
      </c>
      <c r="B172" t="s">
        <v>206</v>
      </c>
      <c r="C172">
        <v>37</v>
      </c>
      <c r="D172" t="s">
        <v>46</v>
      </c>
      <c r="E172" t="s">
        <v>17</v>
      </c>
      <c r="F172" t="s">
        <v>23</v>
      </c>
      <c r="G172" t="s">
        <v>19</v>
      </c>
      <c r="H172">
        <v>4</v>
      </c>
      <c r="I172">
        <v>3200</v>
      </c>
      <c r="J172" s="1">
        <v>45123</v>
      </c>
      <c r="K172" s="1">
        <v>45604</v>
      </c>
      <c r="L172">
        <v>592</v>
      </c>
      <c r="M172">
        <v>-160</v>
      </c>
      <c r="N172" t="s">
        <v>47</v>
      </c>
      <c r="O172">
        <v>481</v>
      </c>
    </row>
    <row r="173" spans="1:15" x14ac:dyDescent="0.3">
      <c r="A173">
        <v>172</v>
      </c>
      <c r="B173" t="s">
        <v>207</v>
      </c>
      <c r="C173">
        <v>40</v>
      </c>
      <c r="D173" t="s">
        <v>22</v>
      </c>
      <c r="E173" t="s">
        <v>17</v>
      </c>
      <c r="F173" t="s">
        <v>18</v>
      </c>
      <c r="G173" t="s">
        <v>19</v>
      </c>
      <c r="H173">
        <v>2</v>
      </c>
      <c r="I173">
        <v>1200</v>
      </c>
      <c r="J173" s="1">
        <v>44806</v>
      </c>
      <c r="K173" s="1">
        <v>45020</v>
      </c>
      <c r="L173">
        <v>1260</v>
      </c>
      <c r="M173">
        <v>424</v>
      </c>
      <c r="N173" t="s">
        <v>20</v>
      </c>
      <c r="O173">
        <v>214</v>
      </c>
    </row>
    <row r="174" spans="1:15" x14ac:dyDescent="0.3">
      <c r="A174">
        <v>173</v>
      </c>
      <c r="B174" t="s">
        <v>208</v>
      </c>
      <c r="C174">
        <v>59</v>
      </c>
      <c r="D174" t="s">
        <v>46</v>
      </c>
      <c r="E174" t="s">
        <v>17</v>
      </c>
      <c r="F174" t="s">
        <v>23</v>
      </c>
      <c r="G174" t="s">
        <v>33</v>
      </c>
      <c r="H174">
        <v>9</v>
      </c>
      <c r="I174">
        <v>4500</v>
      </c>
      <c r="J174" s="1">
        <v>45089</v>
      </c>
      <c r="K174" s="1">
        <v>45383</v>
      </c>
      <c r="L174">
        <v>1125</v>
      </c>
      <c r="M174">
        <v>61</v>
      </c>
      <c r="N174" t="s">
        <v>47</v>
      </c>
      <c r="O174">
        <v>294</v>
      </c>
    </row>
    <row r="175" spans="1:15" x14ac:dyDescent="0.3">
      <c r="A175">
        <v>174</v>
      </c>
      <c r="B175" t="s">
        <v>209</v>
      </c>
      <c r="C175">
        <v>60</v>
      </c>
      <c r="D175" t="s">
        <v>52</v>
      </c>
      <c r="E175" t="s">
        <v>30</v>
      </c>
      <c r="F175" t="s">
        <v>26</v>
      </c>
      <c r="G175" t="s">
        <v>19</v>
      </c>
      <c r="H175">
        <v>6</v>
      </c>
      <c r="I175">
        <v>30000</v>
      </c>
      <c r="J175" s="1">
        <v>45146</v>
      </c>
      <c r="K175" s="1">
        <v>45359</v>
      </c>
      <c r="L175">
        <v>126</v>
      </c>
      <c r="M175">
        <v>85</v>
      </c>
      <c r="N175" t="s">
        <v>47</v>
      </c>
      <c r="O175">
        <v>213</v>
      </c>
    </row>
    <row r="176" spans="1:15" x14ac:dyDescent="0.3">
      <c r="A176">
        <v>175</v>
      </c>
      <c r="B176" t="s">
        <v>210</v>
      </c>
      <c r="C176">
        <v>55</v>
      </c>
      <c r="D176" t="s">
        <v>16</v>
      </c>
      <c r="E176" t="s">
        <v>30</v>
      </c>
      <c r="F176" t="s">
        <v>23</v>
      </c>
      <c r="G176" t="s">
        <v>27</v>
      </c>
      <c r="H176">
        <v>9</v>
      </c>
      <c r="I176">
        <v>84600</v>
      </c>
      <c r="J176" s="1">
        <v>45081</v>
      </c>
      <c r="K176" s="1">
        <v>45364</v>
      </c>
      <c r="L176">
        <v>999</v>
      </c>
      <c r="M176">
        <v>80</v>
      </c>
      <c r="N176" t="s">
        <v>47</v>
      </c>
      <c r="O176">
        <v>283</v>
      </c>
    </row>
    <row r="177" spans="1:15" x14ac:dyDescent="0.3">
      <c r="A177">
        <v>176</v>
      </c>
      <c r="B177" t="s">
        <v>211</v>
      </c>
      <c r="C177">
        <v>44</v>
      </c>
      <c r="D177" t="s">
        <v>22</v>
      </c>
      <c r="E177" t="s">
        <v>36</v>
      </c>
      <c r="F177" t="s">
        <v>23</v>
      </c>
      <c r="G177" t="s">
        <v>33</v>
      </c>
      <c r="H177">
        <v>5</v>
      </c>
      <c r="I177">
        <v>27500</v>
      </c>
      <c r="J177" s="1">
        <v>44927</v>
      </c>
      <c r="K177" s="1">
        <v>45330</v>
      </c>
      <c r="L177">
        <v>570</v>
      </c>
      <c r="M177">
        <v>114</v>
      </c>
      <c r="N177" t="s">
        <v>47</v>
      </c>
      <c r="O177">
        <v>403</v>
      </c>
    </row>
    <row r="178" spans="1:15" x14ac:dyDescent="0.3">
      <c r="A178">
        <v>177</v>
      </c>
      <c r="B178" t="s">
        <v>212</v>
      </c>
      <c r="C178">
        <v>42</v>
      </c>
      <c r="D178" t="s">
        <v>29</v>
      </c>
      <c r="E178" t="s">
        <v>25</v>
      </c>
      <c r="F178" t="s">
        <v>23</v>
      </c>
      <c r="G178" t="s">
        <v>27</v>
      </c>
      <c r="H178">
        <v>3</v>
      </c>
      <c r="I178">
        <v>3600</v>
      </c>
      <c r="J178" s="1">
        <v>44922</v>
      </c>
      <c r="K178" s="1">
        <v>45201</v>
      </c>
      <c r="L178">
        <v>393</v>
      </c>
      <c r="M178">
        <v>243</v>
      </c>
      <c r="N178" t="s">
        <v>20</v>
      </c>
      <c r="O178">
        <v>279</v>
      </c>
    </row>
    <row r="179" spans="1:15" x14ac:dyDescent="0.3">
      <c r="A179">
        <v>178</v>
      </c>
      <c r="B179" t="s">
        <v>213</v>
      </c>
      <c r="C179">
        <v>29</v>
      </c>
      <c r="D179" t="s">
        <v>52</v>
      </c>
      <c r="E179" t="s">
        <v>36</v>
      </c>
      <c r="F179" t="s">
        <v>26</v>
      </c>
      <c r="G179" t="s">
        <v>19</v>
      </c>
      <c r="H179">
        <v>2</v>
      </c>
      <c r="I179">
        <v>40000</v>
      </c>
      <c r="J179" s="1">
        <v>44599</v>
      </c>
      <c r="K179" s="1">
        <v>44749</v>
      </c>
      <c r="L179">
        <v>44</v>
      </c>
      <c r="M179">
        <v>695</v>
      </c>
      <c r="N179" t="s">
        <v>20</v>
      </c>
      <c r="O179">
        <v>150</v>
      </c>
    </row>
    <row r="180" spans="1:15" x14ac:dyDescent="0.3">
      <c r="A180">
        <v>179</v>
      </c>
      <c r="B180" t="s">
        <v>214</v>
      </c>
      <c r="C180">
        <v>40</v>
      </c>
      <c r="D180" t="s">
        <v>63</v>
      </c>
      <c r="E180" t="s">
        <v>25</v>
      </c>
      <c r="F180" t="s">
        <v>23</v>
      </c>
      <c r="G180" t="s">
        <v>19</v>
      </c>
      <c r="H180">
        <v>9</v>
      </c>
      <c r="I180">
        <v>23400</v>
      </c>
      <c r="J180" s="1">
        <v>45118</v>
      </c>
      <c r="K180" s="1">
        <v>45360</v>
      </c>
      <c r="L180">
        <v>1134</v>
      </c>
      <c r="M180">
        <v>84</v>
      </c>
      <c r="N180" t="s">
        <v>47</v>
      </c>
      <c r="O180">
        <v>242</v>
      </c>
    </row>
    <row r="181" spans="1:15" x14ac:dyDescent="0.3">
      <c r="A181">
        <v>180</v>
      </c>
      <c r="B181" t="s">
        <v>215</v>
      </c>
      <c r="C181">
        <v>24</v>
      </c>
      <c r="D181" t="s">
        <v>63</v>
      </c>
      <c r="E181" t="s">
        <v>25</v>
      </c>
      <c r="F181" t="s">
        <v>18</v>
      </c>
      <c r="G181" t="s">
        <v>19</v>
      </c>
      <c r="H181">
        <v>6</v>
      </c>
      <c r="I181">
        <v>12600</v>
      </c>
      <c r="J181" s="1">
        <v>44689</v>
      </c>
      <c r="K181" s="1">
        <v>45098</v>
      </c>
      <c r="L181">
        <v>3678</v>
      </c>
      <c r="M181">
        <v>346</v>
      </c>
      <c r="N181" t="s">
        <v>20</v>
      </c>
      <c r="O181">
        <v>409</v>
      </c>
    </row>
    <row r="182" spans="1:15" x14ac:dyDescent="0.3">
      <c r="A182">
        <v>181</v>
      </c>
      <c r="B182" t="s">
        <v>216</v>
      </c>
      <c r="C182">
        <v>42</v>
      </c>
      <c r="D182" t="s">
        <v>22</v>
      </c>
      <c r="E182" t="s">
        <v>36</v>
      </c>
      <c r="F182" t="s">
        <v>26</v>
      </c>
      <c r="G182" t="s">
        <v>33</v>
      </c>
      <c r="H182">
        <v>3</v>
      </c>
      <c r="I182">
        <v>63900</v>
      </c>
      <c r="J182" s="1">
        <v>45071</v>
      </c>
      <c r="K182" s="1">
        <v>45259</v>
      </c>
      <c r="L182">
        <v>129</v>
      </c>
      <c r="M182">
        <v>185</v>
      </c>
      <c r="N182" t="s">
        <v>20</v>
      </c>
      <c r="O182">
        <v>188</v>
      </c>
    </row>
    <row r="183" spans="1:15" x14ac:dyDescent="0.3">
      <c r="A183">
        <v>182</v>
      </c>
      <c r="B183" t="s">
        <v>217</v>
      </c>
      <c r="C183">
        <v>48</v>
      </c>
      <c r="D183" t="s">
        <v>38</v>
      </c>
      <c r="E183" t="s">
        <v>17</v>
      </c>
      <c r="F183" t="s">
        <v>26</v>
      </c>
      <c r="G183" t="s">
        <v>19</v>
      </c>
      <c r="H183">
        <v>10</v>
      </c>
      <c r="I183">
        <v>9000</v>
      </c>
      <c r="J183" s="1">
        <v>45120</v>
      </c>
      <c r="K183" s="1">
        <v>45270</v>
      </c>
      <c r="L183">
        <v>300</v>
      </c>
      <c r="M183">
        <v>174</v>
      </c>
      <c r="N183" t="s">
        <v>47</v>
      </c>
      <c r="O183">
        <v>150</v>
      </c>
    </row>
    <row r="184" spans="1:15" x14ac:dyDescent="0.3">
      <c r="A184">
        <v>183</v>
      </c>
      <c r="B184" t="s">
        <v>218</v>
      </c>
      <c r="C184">
        <v>40</v>
      </c>
      <c r="D184" t="s">
        <v>16</v>
      </c>
      <c r="E184" t="s">
        <v>17</v>
      </c>
      <c r="F184" t="s">
        <v>18</v>
      </c>
      <c r="G184" t="s">
        <v>19</v>
      </c>
      <c r="H184">
        <v>8</v>
      </c>
      <c r="I184">
        <v>13600</v>
      </c>
      <c r="J184" s="1">
        <v>44998</v>
      </c>
      <c r="K184" s="1">
        <v>45083</v>
      </c>
      <c r="L184">
        <v>4944</v>
      </c>
      <c r="M184">
        <v>361</v>
      </c>
      <c r="N184" t="s">
        <v>20</v>
      </c>
      <c r="O184">
        <v>85</v>
      </c>
    </row>
    <row r="185" spans="1:15" x14ac:dyDescent="0.3">
      <c r="A185">
        <v>184</v>
      </c>
      <c r="B185" t="s">
        <v>219</v>
      </c>
      <c r="C185">
        <v>60</v>
      </c>
      <c r="D185" t="s">
        <v>29</v>
      </c>
      <c r="E185" t="s">
        <v>36</v>
      </c>
      <c r="F185" t="s">
        <v>23</v>
      </c>
      <c r="G185" t="s">
        <v>19</v>
      </c>
      <c r="H185">
        <v>7</v>
      </c>
      <c r="I185">
        <v>98000</v>
      </c>
      <c r="J185" s="1">
        <v>44620</v>
      </c>
      <c r="K185" s="1">
        <v>44658</v>
      </c>
      <c r="L185">
        <v>1050</v>
      </c>
      <c r="M185">
        <v>786</v>
      </c>
      <c r="N185" t="s">
        <v>20</v>
      </c>
      <c r="O185">
        <v>38</v>
      </c>
    </row>
    <row r="186" spans="1:15" x14ac:dyDescent="0.3">
      <c r="A186">
        <v>185</v>
      </c>
      <c r="B186" t="s">
        <v>220</v>
      </c>
      <c r="C186">
        <v>30</v>
      </c>
      <c r="D186" t="s">
        <v>22</v>
      </c>
      <c r="E186" t="s">
        <v>30</v>
      </c>
      <c r="F186" t="s">
        <v>31</v>
      </c>
      <c r="G186" t="s">
        <v>19</v>
      </c>
      <c r="H186">
        <v>10</v>
      </c>
      <c r="I186">
        <v>86000</v>
      </c>
      <c r="J186" s="1">
        <v>45010</v>
      </c>
      <c r="K186" s="1">
        <v>45027</v>
      </c>
      <c r="L186">
        <v>380</v>
      </c>
      <c r="M186">
        <v>417</v>
      </c>
      <c r="N186" t="s">
        <v>20</v>
      </c>
      <c r="O186">
        <v>17</v>
      </c>
    </row>
    <row r="187" spans="1:15" x14ac:dyDescent="0.3">
      <c r="A187">
        <v>186</v>
      </c>
      <c r="B187" t="s">
        <v>221</v>
      </c>
      <c r="C187">
        <v>45</v>
      </c>
      <c r="D187" t="s">
        <v>16</v>
      </c>
      <c r="E187" t="s">
        <v>25</v>
      </c>
      <c r="F187" t="s">
        <v>18</v>
      </c>
      <c r="G187" t="s">
        <v>19</v>
      </c>
      <c r="H187">
        <v>10</v>
      </c>
      <c r="I187">
        <v>11000</v>
      </c>
      <c r="J187" s="1">
        <v>44719</v>
      </c>
      <c r="K187" s="1">
        <v>45066</v>
      </c>
      <c r="L187">
        <v>6180</v>
      </c>
      <c r="M187">
        <v>378</v>
      </c>
      <c r="N187" t="s">
        <v>20</v>
      </c>
      <c r="O187">
        <v>347</v>
      </c>
    </row>
    <row r="188" spans="1:15" x14ac:dyDescent="0.3">
      <c r="A188">
        <v>187</v>
      </c>
      <c r="B188" t="s">
        <v>222</v>
      </c>
      <c r="C188">
        <v>57</v>
      </c>
      <c r="D188" t="s">
        <v>29</v>
      </c>
      <c r="E188" t="s">
        <v>30</v>
      </c>
      <c r="F188" t="s">
        <v>26</v>
      </c>
      <c r="G188" t="s">
        <v>19</v>
      </c>
      <c r="H188">
        <v>3</v>
      </c>
      <c r="I188">
        <v>21900</v>
      </c>
      <c r="J188" s="1">
        <v>44937</v>
      </c>
      <c r="K188" s="1">
        <v>45140</v>
      </c>
      <c r="L188">
        <v>90</v>
      </c>
      <c r="M188">
        <v>304</v>
      </c>
      <c r="N188" t="s">
        <v>20</v>
      </c>
      <c r="O188">
        <v>203</v>
      </c>
    </row>
    <row r="189" spans="1:15" x14ac:dyDescent="0.3">
      <c r="A189">
        <v>188</v>
      </c>
      <c r="B189" t="s">
        <v>223</v>
      </c>
      <c r="C189">
        <v>32</v>
      </c>
      <c r="D189" t="s">
        <v>38</v>
      </c>
      <c r="E189" t="s">
        <v>25</v>
      </c>
      <c r="F189" t="s">
        <v>23</v>
      </c>
      <c r="G189" t="s">
        <v>19</v>
      </c>
      <c r="H189">
        <v>8</v>
      </c>
      <c r="I189">
        <v>24800</v>
      </c>
      <c r="J189" s="1">
        <v>44958</v>
      </c>
      <c r="K189" s="1">
        <v>45425</v>
      </c>
      <c r="L189">
        <v>1160</v>
      </c>
      <c r="M189">
        <v>19</v>
      </c>
      <c r="N189" t="s">
        <v>47</v>
      </c>
      <c r="O189">
        <v>467</v>
      </c>
    </row>
    <row r="190" spans="1:15" x14ac:dyDescent="0.3">
      <c r="A190">
        <v>189</v>
      </c>
      <c r="B190" t="s">
        <v>224</v>
      </c>
      <c r="C190">
        <v>34</v>
      </c>
      <c r="D190" t="s">
        <v>16</v>
      </c>
      <c r="E190" t="s">
        <v>30</v>
      </c>
      <c r="F190" t="s">
        <v>18</v>
      </c>
      <c r="G190" t="s">
        <v>33</v>
      </c>
      <c r="H190">
        <v>10</v>
      </c>
      <c r="I190">
        <v>53000</v>
      </c>
      <c r="J190" s="1">
        <v>45064</v>
      </c>
      <c r="K190" s="1">
        <v>45166</v>
      </c>
      <c r="L190">
        <v>5970</v>
      </c>
      <c r="M190">
        <v>278</v>
      </c>
      <c r="N190" t="s">
        <v>20</v>
      </c>
      <c r="O190">
        <v>102</v>
      </c>
    </row>
    <row r="191" spans="1:15" x14ac:dyDescent="0.3">
      <c r="A191">
        <v>190</v>
      </c>
      <c r="B191" t="s">
        <v>225</v>
      </c>
      <c r="C191">
        <v>49</v>
      </c>
      <c r="D191" t="s">
        <v>52</v>
      </c>
      <c r="E191" t="s">
        <v>17</v>
      </c>
      <c r="F191" t="s">
        <v>26</v>
      </c>
      <c r="G191" t="s">
        <v>19</v>
      </c>
      <c r="H191">
        <v>2</v>
      </c>
      <c r="I191">
        <v>3800</v>
      </c>
      <c r="J191" s="1">
        <v>44889</v>
      </c>
      <c r="K191" s="1">
        <v>45230</v>
      </c>
      <c r="L191">
        <v>64</v>
      </c>
      <c r="M191">
        <v>214</v>
      </c>
      <c r="N191" t="s">
        <v>20</v>
      </c>
      <c r="O191">
        <v>341</v>
      </c>
    </row>
    <row r="192" spans="1:15" x14ac:dyDescent="0.3">
      <c r="A192">
        <v>191</v>
      </c>
      <c r="B192" t="s">
        <v>226</v>
      </c>
      <c r="C192">
        <v>65</v>
      </c>
      <c r="D192" t="s">
        <v>16</v>
      </c>
      <c r="E192" t="s">
        <v>30</v>
      </c>
      <c r="F192" t="s">
        <v>18</v>
      </c>
      <c r="G192" t="s">
        <v>19</v>
      </c>
      <c r="H192">
        <v>3</v>
      </c>
      <c r="I192">
        <v>28500</v>
      </c>
      <c r="J192" s="1">
        <v>44932</v>
      </c>
      <c r="K192" s="1">
        <v>45192</v>
      </c>
      <c r="L192">
        <v>1812</v>
      </c>
      <c r="M192">
        <v>252</v>
      </c>
      <c r="N192" t="s">
        <v>20</v>
      </c>
      <c r="O192">
        <v>260</v>
      </c>
    </row>
    <row r="193" spans="1:15" x14ac:dyDescent="0.3">
      <c r="A193">
        <v>192</v>
      </c>
      <c r="B193" t="s">
        <v>227</v>
      </c>
      <c r="C193">
        <v>52</v>
      </c>
      <c r="D193" t="s">
        <v>16</v>
      </c>
      <c r="E193" t="s">
        <v>25</v>
      </c>
      <c r="F193" t="s">
        <v>31</v>
      </c>
      <c r="G193" t="s">
        <v>19</v>
      </c>
      <c r="H193">
        <v>1</v>
      </c>
      <c r="I193">
        <v>2500</v>
      </c>
      <c r="J193" s="1">
        <v>45129</v>
      </c>
      <c r="K193" s="1">
        <v>45422</v>
      </c>
      <c r="L193">
        <v>53</v>
      </c>
      <c r="M193">
        <v>22</v>
      </c>
      <c r="N193" t="s">
        <v>47</v>
      </c>
      <c r="O193">
        <v>293</v>
      </c>
    </row>
    <row r="194" spans="1:15" x14ac:dyDescent="0.3">
      <c r="A194">
        <v>193</v>
      </c>
      <c r="B194" t="s">
        <v>228</v>
      </c>
      <c r="C194">
        <v>40</v>
      </c>
      <c r="D194" t="s">
        <v>46</v>
      </c>
      <c r="E194" t="s">
        <v>25</v>
      </c>
      <c r="F194" t="s">
        <v>23</v>
      </c>
      <c r="G194" t="s">
        <v>19</v>
      </c>
      <c r="H194">
        <v>7</v>
      </c>
      <c r="I194">
        <v>27300</v>
      </c>
      <c r="J194" s="1">
        <v>45052</v>
      </c>
      <c r="K194" s="1">
        <v>45321</v>
      </c>
      <c r="L194">
        <v>952</v>
      </c>
      <c r="M194">
        <v>123</v>
      </c>
      <c r="N194" t="s">
        <v>47</v>
      </c>
      <c r="O194">
        <v>269</v>
      </c>
    </row>
    <row r="195" spans="1:15" x14ac:dyDescent="0.3">
      <c r="A195">
        <v>194</v>
      </c>
      <c r="B195" t="s">
        <v>229</v>
      </c>
      <c r="C195">
        <v>62</v>
      </c>
      <c r="D195" t="s">
        <v>22</v>
      </c>
      <c r="E195" t="s">
        <v>17</v>
      </c>
      <c r="F195" t="s">
        <v>31</v>
      </c>
      <c r="G195" t="s">
        <v>19</v>
      </c>
      <c r="H195">
        <v>2</v>
      </c>
      <c r="I195">
        <v>2800</v>
      </c>
      <c r="J195" s="1">
        <v>45039</v>
      </c>
      <c r="K195" s="1">
        <v>45387</v>
      </c>
      <c r="L195">
        <v>126</v>
      </c>
      <c r="M195">
        <v>57</v>
      </c>
      <c r="N195" t="s">
        <v>47</v>
      </c>
      <c r="O195">
        <v>348</v>
      </c>
    </row>
    <row r="196" spans="1:15" x14ac:dyDescent="0.3">
      <c r="A196">
        <v>195</v>
      </c>
      <c r="B196" t="s">
        <v>230</v>
      </c>
      <c r="C196">
        <v>48</v>
      </c>
      <c r="D196" t="s">
        <v>29</v>
      </c>
      <c r="E196" t="s">
        <v>25</v>
      </c>
      <c r="F196" t="s">
        <v>31</v>
      </c>
      <c r="G196" t="s">
        <v>19</v>
      </c>
      <c r="H196">
        <v>9</v>
      </c>
      <c r="I196">
        <v>42300</v>
      </c>
      <c r="J196" s="1">
        <v>44618</v>
      </c>
      <c r="K196" s="1">
        <v>45043</v>
      </c>
      <c r="L196">
        <v>333</v>
      </c>
      <c r="M196">
        <v>401</v>
      </c>
      <c r="N196" t="s">
        <v>20</v>
      </c>
      <c r="O196">
        <v>425</v>
      </c>
    </row>
    <row r="197" spans="1:15" x14ac:dyDescent="0.3">
      <c r="A197">
        <v>196</v>
      </c>
      <c r="B197" t="s">
        <v>231</v>
      </c>
      <c r="C197">
        <v>41</v>
      </c>
      <c r="D197" t="s">
        <v>52</v>
      </c>
      <c r="E197" t="s">
        <v>30</v>
      </c>
      <c r="F197" t="s">
        <v>31</v>
      </c>
      <c r="G197" t="s">
        <v>19</v>
      </c>
      <c r="H197">
        <v>4</v>
      </c>
      <c r="I197">
        <v>23200</v>
      </c>
      <c r="J197" s="1">
        <v>45093</v>
      </c>
      <c r="K197" s="1">
        <v>45551</v>
      </c>
      <c r="L197">
        <v>192</v>
      </c>
      <c r="M197">
        <v>-107</v>
      </c>
      <c r="N197" t="s">
        <v>47</v>
      </c>
      <c r="O197">
        <v>458</v>
      </c>
    </row>
    <row r="198" spans="1:15" x14ac:dyDescent="0.3">
      <c r="A198">
        <v>197</v>
      </c>
      <c r="B198" t="s">
        <v>232</v>
      </c>
      <c r="C198">
        <v>38</v>
      </c>
      <c r="D198" t="s">
        <v>16</v>
      </c>
      <c r="E198" t="s">
        <v>30</v>
      </c>
      <c r="F198" t="s">
        <v>31</v>
      </c>
      <c r="G198" t="s">
        <v>27</v>
      </c>
      <c r="H198">
        <v>3</v>
      </c>
      <c r="I198">
        <v>24300</v>
      </c>
      <c r="J198" s="1">
        <v>44872</v>
      </c>
      <c r="K198" s="1">
        <v>45186</v>
      </c>
      <c r="L198">
        <v>192</v>
      </c>
      <c r="M198">
        <v>258</v>
      </c>
      <c r="N198" t="s">
        <v>20</v>
      </c>
      <c r="O198">
        <v>314</v>
      </c>
    </row>
    <row r="199" spans="1:15" x14ac:dyDescent="0.3">
      <c r="A199">
        <v>198</v>
      </c>
      <c r="B199" t="s">
        <v>233</v>
      </c>
      <c r="C199">
        <v>63</v>
      </c>
      <c r="D199" t="s">
        <v>16</v>
      </c>
      <c r="E199" t="s">
        <v>25</v>
      </c>
      <c r="F199" t="s">
        <v>31</v>
      </c>
      <c r="G199" t="s">
        <v>19</v>
      </c>
      <c r="H199">
        <v>10</v>
      </c>
      <c r="I199">
        <v>40000</v>
      </c>
      <c r="J199" s="1">
        <v>44907</v>
      </c>
      <c r="K199" s="1">
        <v>45338</v>
      </c>
      <c r="L199">
        <v>660</v>
      </c>
      <c r="M199">
        <v>106</v>
      </c>
      <c r="N199" t="s">
        <v>47</v>
      </c>
      <c r="O199">
        <v>431</v>
      </c>
    </row>
    <row r="200" spans="1:15" x14ac:dyDescent="0.3">
      <c r="A200">
        <v>199</v>
      </c>
      <c r="B200" t="s">
        <v>234</v>
      </c>
      <c r="C200">
        <v>62</v>
      </c>
      <c r="D200" t="s">
        <v>63</v>
      </c>
      <c r="E200" t="s">
        <v>17</v>
      </c>
      <c r="F200" t="s">
        <v>23</v>
      </c>
      <c r="G200" t="s">
        <v>19</v>
      </c>
      <c r="H200">
        <v>10</v>
      </c>
      <c r="I200">
        <v>10000</v>
      </c>
      <c r="J200" s="1">
        <v>44777</v>
      </c>
      <c r="K200" s="1">
        <v>45169</v>
      </c>
      <c r="L200">
        <v>1460</v>
      </c>
      <c r="M200">
        <v>275</v>
      </c>
      <c r="N200" t="s">
        <v>20</v>
      </c>
      <c r="O200">
        <v>392</v>
      </c>
    </row>
    <row r="201" spans="1:15" x14ac:dyDescent="0.3">
      <c r="A201">
        <v>200</v>
      </c>
      <c r="B201" t="s">
        <v>235</v>
      </c>
      <c r="C201">
        <v>39</v>
      </c>
      <c r="D201" t="s">
        <v>22</v>
      </c>
      <c r="E201" t="s">
        <v>17</v>
      </c>
      <c r="F201" t="s">
        <v>26</v>
      </c>
      <c r="G201" t="s">
        <v>27</v>
      </c>
      <c r="H201">
        <v>5</v>
      </c>
      <c r="I201">
        <v>7500</v>
      </c>
      <c r="J201" s="1">
        <v>44812</v>
      </c>
      <c r="K201" s="1">
        <v>45224</v>
      </c>
      <c r="L201">
        <v>175</v>
      </c>
      <c r="M201">
        <v>220</v>
      </c>
      <c r="N201" t="s">
        <v>20</v>
      </c>
      <c r="O201">
        <v>412</v>
      </c>
    </row>
    <row r="202" spans="1:15" x14ac:dyDescent="0.3">
      <c r="A202">
        <v>201</v>
      </c>
      <c r="B202" t="s">
        <v>236</v>
      </c>
      <c r="C202">
        <v>31</v>
      </c>
      <c r="D202" t="s">
        <v>38</v>
      </c>
      <c r="E202" t="s">
        <v>36</v>
      </c>
      <c r="F202" t="s">
        <v>23</v>
      </c>
      <c r="G202" t="s">
        <v>19</v>
      </c>
      <c r="H202">
        <v>8</v>
      </c>
      <c r="I202">
        <v>148800</v>
      </c>
      <c r="J202" s="1">
        <v>45057</v>
      </c>
      <c r="K202" s="1">
        <v>45294</v>
      </c>
      <c r="L202">
        <v>984</v>
      </c>
      <c r="M202">
        <v>150</v>
      </c>
      <c r="N202" t="s">
        <v>47</v>
      </c>
      <c r="O202">
        <v>237</v>
      </c>
    </row>
    <row r="203" spans="1:15" x14ac:dyDescent="0.3">
      <c r="A203">
        <v>202</v>
      </c>
      <c r="B203" t="s">
        <v>237</v>
      </c>
      <c r="C203">
        <v>43</v>
      </c>
      <c r="D203" t="s">
        <v>29</v>
      </c>
      <c r="E203" t="s">
        <v>25</v>
      </c>
      <c r="F203" t="s">
        <v>18</v>
      </c>
      <c r="G203" t="s">
        <v>19</v>
      </c>
      <c r="H203">
        <v>7</v>
      </c>
      <c r="I203">
        <v>10500</v>
      </c>
      <c r="J203" s="1">
        <v>44941</v>
      </c>
      <c r="K203" s="1">
        <v>45204</v>
      </c>
      <c r="L203">
        <v>4375</v>
      </c>
      <c r="M203">
        <v>240</v>
      </c>
      <c r="N203" t="s">
        <v>20</v>
      </c>
      <c r="O203">
        <v>263</v>
      </c>
    </row>
    <row r="204" spans="1:15" x14ac:dyDescent="0.3">
      <c r="A204">
        <v>203</v>
      </c>
      <c r="B204" t="s">
        <v>238</v>
      </c>
      <c r="C204">
        <v>28</v>
      </c>
      <c r="D204" t="s">
        <v>16</v>
      </c>
      <c r="E204" t="s">
        <v>30</v>
      </c>
      <c r="F204" t="s">
        <v>31</v>
      </c>
      <c r="G204" t="s">
        <v>33</v>
      </c>
      <c r="H204">
        <v>5</v>
      </c>
      <c r="I204">
        <v>33500</v>
      </c>
      <c r="J204" s="1">
        <v>44815</v>
      </c>
      <c r="K204" s="1">
        <v>44887</v>
      </c>
      <c r="L204">
        <v>180</v>
      </c>
      <c r="M204">
        <v>557</v>
      </c>
      <c r="N204" t="s">
        <v>20</v>
      </c>
      <c r="O204">
        <v>72</v>
      </c>
    </row>
    <row r="205" spans="1:15" x14ac:dyDescent="0.3">
      <c r="A205">
        <v>204</v>
      </c>
      <c r="B205" t="s">
        <v>239</v>
      </c>
      <c r="C205">
        <v>47</v>
      </c>
      <c r="D205" t="s">
        <v>63</v>
      </c>
      <c r="E205" t="s">
        <v>30</v>
      </c>
      <c r="F205" t="s">
        <v>26</v>
      </c>
      <c r="G205" t="s">
        <v>27</v>
      </c>
      <c r="H205">
        <v>4</v>
      </c>
      <c r="I205">
        <v>17200</v>
      </c>
      <c r="J205" s="1">
        <v>44897</v>
      </c>
      <c r="K205" s="1">
        <v>45375</v>
      </c>
      <c r="L205">
        <v>184</v>
      </c>
      <c r="M205">
        <v>69</v>
      </c>
      <c r="N205" t="s">
        <v>47</v>
      </c>
      <c r="O205">
        <v>478</v>
      </c>
    </row>
    <row r="206" spans="1:15" x14ac:dyDescent="0.3">
      <c r="A206">
        <v>205</v>
      </c>
      <c r="B206" t="s">
        <v>240</v>
      </c>
      <c r="C206">
        <v>53</v>
      </c>
      <c r="D206" t="s">
        <v>29</v>
      </c>
      <c r="E206" t="s">
        <v>25</v>
      </c>
      <c r="F206" t="s">
        <v>31</v>
      </c>
      <c r="G206" t="s">
        <v>33</v>
      </c>
      <c r="H206">
        <v>8</v>
      </c>
      <c r="I206">
        <v>24000</v>
      </c>
      <c r="J206" s="1">
        <v>44877</v>
      </c>
      <c r="K206" s="1">
        <v>45131</v>
      </c>
      <c r="L206">
        <v>248</v>
      </c>
      <c r="M206">
        <v>313</v>
      </c>
      <c r="N206" t="s">
        <v>20</v>
      </c>
      <c r="O206">
        <v>254</v>
      </c>
    </row>
    <row r="207" spans="1:15" x14ac:dyDescent="0.3">
      <c r="A207">
        <v>206</v>
      </c>
      <c r="B207" t="s">
        <v>241</v>
      </c>
      <c r="C207">
        <v>34</v>
      </c>
      <c r="D207" t="s">
        <v>16</v>
      </c>
      <c r="E207" t="s">
        <v>36</v>
      </c>
      <c r="F207" t="s">
        <v>26</v>
      </c>
      <c r="G207" t="s">
        <v>19</v>
      </c>
      <c r="H207">
        <v>10</v>
      </c>
      <c r="I207">
        <v>166000</v>
      </c>
      <c r="J207" s="1">
        <v>44611</v>
      </c>
      <c r="K207" s="1">
        <v>44636</v>
      </c>
      <c r="L207">
        <v>280</v>
      </c>
      <c r="M207">
        <v>808</v>
      </c>
      <c r="N207" t="s">
        <v>20</v>
      </c>
      <c r="O207">
        <v>25</v>
      </c>
    </row>
    <row r="208" spans="1:15" x14ac:dyDescent="0.3">
      <c r="A208">
        <v>207</v>
      </c>
      <c r="B208" t="s">
        <v>242</v>
      </c>
      <c r="C208">
        <v>21</v>
      </c>
      <c r="D208" t="s">
        <v>46</v>
      </c>
      <c r="E208" t="s">
        <v>36</v>
      </c>
      <c r="F208" t="s">
        <v>18</v>
      </c>
      <c r="G208" t="s">
        <v>27</v>
      </c>
      <c r="H208">
        <v>2</v>
      </c>
      <c r="I208">
        <v>38200</v>
      </c>
      <c r="J208" s="1">
        <v>44699</v>
      </c>
      <c r="K208" s="1">
        <v>45150</v>
      </c>
      <c r="L208">
        <v>1212</v>
      </c>
      <c r="M208">
        <v>294</v>
      </c>
      <c r="N208" t="s">
        <v>20</v>
      </c>
      <c r="O208">
        <v>451</v>
      </c>
    </row>
    <row r="209" spans="1:15" x14ac:dyDescent="0.3">
      <c r="A209">
        <v>208</v>
      </c>
      <c r="B209" t="s">
        <v>243</v>
      </c>
      <c r="C209">
        <v>46</v>
      </c>
      <c r="D209" t="s">
        <v>29</v>
      </c>
      <c r="E209" t="s">
        <v>36</v>
      </c>
      <c r="F209" t="s">
        <v>18</v>
      </c>
      <c r="G209" t="s">
        <v>19</v>
      </c>
      <c r="H209">
        <v>1</v>
      </c>
      <c r="I209">
        <v>23700</v>
      </c>
      <c r="J209" s="1">
        <v>45137</v>
      </c>
      <c r="K209" s="1">
        <v>45236</v>
      </c>
      <c r="L209">
        <v>613</v>
      </c>
      <c r="M209">
        <v>208</v>
      </c>
      <c r="N209" t="s">
        <v>20</v>
      </c>
      <c r="O209">
        <v>99</v>
      </c>
    </row>
    <row r="210" spans="1:15" x14ac:dyDescent="0.3">
      <c r="A210">
        <v>209</v>
      </c>
      <c r="B210" t="s">
        <v>244</v>
      </c>
      <c r="C210">
        <v>49</v>
      </c>
      <c r="D210" t="s">
        <v>38</v>
      </c>
      <c r="E210" t="s">
        <v>17</v>
      </c>
      <c r="F210" t="s">
        <v>26</v>
      </c>
      <c r="G210" t="s">
        <v>27</v>
      </c>
      <c r="H210">
        <v>9</v>
      </c>
      <c r="I210">
        <v>9900</v>
      </c>
      <c r="J210" s="1">
        <v>44683</v>
      </c>
      <c r="K210" s="1">
        <v>44748</v>
      </c>
      <c r="L210">
        <v>144</v>
      </c>
      <c r="M210">
        <v>696</v>
      </c>
      <c r="N210" t="s">
        <v>20</v>
      </c>
      <c r="O210">
        <v>65</v>
      </c>
    </row>
    <row r="211" spans="1:15" x14ac:dyDescent="0.3">
      <c r="A211">
        <v>210</v>
      </c>
      <c r="B211" t="s">
        <v>245</v>
      </c>
      <c r="C211">
        <v>44</v>
      </c>
      <c r="D211" t="s">
        <v>22</v>
      </c>
      <c r="E211" t="s">
        <v>30</v>
      </c>
      <c r="F211" t="s">
        <v>18</v>
      </c>
      <c r="G211" t="s">
        <v>27</v>
      </c>
      <c r="H211">
        <v>3</v>
      </c>
      <c r="I211">
        <v>13800</v>
      </c>
      <c r="J211" s="1">
        <v>45083</v>
      </c>
      <c r="K211" s="1">
        <v>45288</v>
      </c>
      <c r="L211">
        <v>1866</v>
      </c>
      <c r="M211">
        <v>156</v>
      </c>
      <c r="N211" t="s">
        <v>47</v>
      </c>
      <c r="O211">
        <v>205</v>
      </c>
    </row>
    <row r="212" spans="1:15" x14ac:dyDescent="0.3">
      <c r="A212">
        <v>211</v>
      </c>
      <c r="B212" t="s">
        <v>246</v>
      </c>
      <c r="C212">
        <v>42</v>
      </c>
      <c r="D212" t="s">
        <v>63</v>
      </c>
      <c r="E212" t="s">
        <v>17</v>
      </c>
      <c r="F212" t="s">
        <v>23</v>
      </c>
      <c r="G212" t="s">
        <v>19</v>
      </c>
      <c r="H212">
        <v>8</v>
      </c>
      <c r="I212">
        <v>12800</v>
      </c>
      <c r="J212" s="1">
        <v>45029</v>
      </c>
      <c r="K212" s="1">
        <v>45105</v>
      </c>
      <c r="L212">
        <v>1184</v>
      </c>
      <c r="M212">
        <v>339</v>
      </c>
      <c r="N212" t="s">
        <v>20</v>
      </c>
      <c r="O212">
        <v>76</v>
      </c>
    </row>
    <row r="213" spans="1:15" x14ac:dyDescent="0.3">
      <c r="A213">
        <v>212</v>
      </c>
      <c r="B213" t="s">
        <v>247</v>
      </c>
      <c r="C213">
        <v>46</v>
      </c>
      <c r="D213" t="s">
        <v>52</v>
      </c>
      <c r="E213" t="s">
        <v>30</v>
      </c>
      <c r="F213" t="s">
        <v>18</v>
      </c>
      <c r="G213" t="s">
        <v>19</v>
      </c>
      <c r="H213">
        <v>10</v>
      </c>
      <c r="I213">
        <v>91000</v>
      </c>
      <c r="J213" s="1">
        <v>44868</v>
      </c>
      <c r="K213" s="1">
        <v>45171</v>
      </c>
      <c r="L213">
        <v>6110</v>
      </c>
      <c r="M213">
        <v>273</v>
      </c>
      <c r="N213" t="s">
        <v>20</v>
      </c>
      <c r="O213">
        <v>303</v>
      </c>
    </row>
    <row r="214" spans="1:15" x14ac:dyDescent="0.3">
      <c r="A214">
        <v>213</v>
      </c>
      <c r="B214" t="s">
        <v>248</v>
      </c>
      <c r="C214">
        <v>44</v>
      </c>
      <c r="D214" t="s">
        <v>46</v>
      </c>
      <c r="E214" t="s">
        <v>30</v>
      </c>
      <c r="F214" t="s">
        <v>26</v>
      </c>
      <c r="G214" t="s">
        <v>19</v>
      </c>
      <c r="H214">
        <v>6</v>
      </c>
      <c r="I214">
        <v>51000</v>
      </c>
      <c r="J214" s="1">
        <v>44674</v>
      </c>
      <c r="K214" s="1">
        <v>44887</v>
      </c>
      <c r="L214">
        <v>282</v>
      </c>
      <c r="M214">
        <v>557</v>
      </c>
      <c r="N214" t="s">
        <v>20</v>
      </c>
      <c r="O214">
        <v>213</v>
      </c>
    </row>
    <row r="215" spans="1:15" x14ac:dyDescent="0.3">
      <c r="A215">
        <v>214</v>
      </c>
      <c r="B215" t="s">
        <v>249</v>
      </c>
      <c r="C215">
        <v>62</v>
      </c>
      <c r="D215" t="s">
        <v>38</v>
      </c>
      <c r="E215" t="s">
        <v>17</v>
      </c>
      <c r="F215" t="s">
        <v>26</v>
      </c>
      <c r="G215" t="s">
        <v>19</v>
      </c>
      <c r="H215">
        <v>10</v>
      </c>
      <c r="I215">
        <v>17000</v>
      </c>
      <c r="J215" s="1">
        <v>44795</v>
      </c>
      <c r="K215" s="1">
        <v>45164</v>
      </c>
      <c r="L215">
        <v>130</v>
      </c>
      <c r="M215">
        <v>280</v>
      </c>
      <c r="N215" t="s">
        <v>20</v>
      </c>
      <c r="O215">
        <v>369</v>
      </c>
    </row>
    <row r="216" spans="1:15" x14ac:dyDescent="0.3">
      <c r="A216">
        <v>215</v>
      </c>
      <c r="B216" t="s">
        <v>250</v>
      </c>
      <c r="C216">
        <v>64</v>
      </c>
      <c r="D216" t="s">
        <v>46</v>
      </c>
      <c r="E216" t="s">
        <v>25</v>
      </c>
      <c r="F216" t="s">
        <v>26</v>
      </c>
      <c r="G216" t="s">
        <v>19</v>
      </c>
      <c r="H216">
        <v>4</v>
      </c>
      <c r="I216">
        <v>4400</v>
      </c>
      <c r="J216" s="1">
        <v>45148</v>
      </c>
      <c r="K216" s="1">
        <v>45633</v>
      </c>
      <c r="L216">
        <v>68</v>
      </c>
      <c r="M216">
        <v>-189</v>
      </c>
      <c r="N216" t="s">
        <v>47</v>
      </c>
      <c r="O216">
        <v>485</v>
      </c>
    </row>
    <row r="217" spans="1:15" x14ac:dyDescent="0.3">
      <c r="A217">
        <v>216</v>
      </c>
      <c r="B217" t="s">
        <v>251</v>
      </c>
      <c r="C217">
        <v>47</v>
      </c>
      <c r="D217" t="s">
        <v>40</v>
      </c>
      <c r="E217" t="s">
        <v>17</v>
      </c>
      <c r="F217" t="s">
        <v>26</v>
      </c>
      <c r="G217" t="s">
        <v>19</v>
      </c>
      <c r="H217">
        <v>3</v>
      </c>
      <c r="I217">
        <v>3900</v>
      </c>
      <c r="J217" s="1">
        <v>44770</v>
      </c>
      <c r="K217" s="1">
        <v>44980</v>
      </c>
      <c r="L217">
        <v>126</v>
      </c>
      <c r="M217">
        <v>464</v>
      </c>
      <c r="N217" t="s">
        <v>20</v>
      </c>
      <c r="O217">
        <v>210</v>
      </c>
    </row>
    <row r="218" spans="1:15" x14ac:dyDescent="0.3">
      <c r="A218">
        <v>217</v>
      </c>
      <c r="B218" t="s">
        <v>252</v>
      </c>
      <c r="C218">
        <v>34</v>
      </c>
      <c r="D218" t="s">
        <v>46</v>
      </c>
      <c r="E218" t="s">
        <v>17</v>
      </c>
      <c r="F218" t="s">
        <v>31</v>
      </c>
      <c r="G218" t="s">
        <v>27</v>
      </c>
      <c r="H218">
        <v>9</v>
      </c>
      <c r="I218">
        <v>10800</v>
      </c>
      <c r="J218" s="1">
        <v>45051</v>
      </c>
      <c r="K218" s="1">
        <v>45320</v>
      </c>
      <c r="L218">
        <v>486</v>
      </c>
      <c r="M218">
        <v>124</v>
      </c>
      <c r="N218" t="s">
        <v>47</v>
      </c>
      <c r="O218">
        <v>269</v>
      </c>
    </row>
    <row r="219" spans="1:15" x14ac:dyDescent="0.3">
      <c r="A219">
        <v>218</v>
      </c>
      <c r="B219" t="s">
        <v>253</v>
      </c>
      <c r="C219">
        <v>42</v>
      </c>
      <c r="D219" t="s">
        <v>29</v>
      </c>
      <c r="E219" t="s">
        <v>25</v>
      </c>
      <c r="F219" t="s">
        <v>26</v>
      </c>
      <c r="G219" t="s">
        <v>27</v>
      </c>
      <c r="H219">
        <v>9</v>
      </c>
      <c r="I219">
        <v>22500</v>
      </c>
      <c r="J219" s="1">
        <v>44832</v>
      </c>
      <c r="K219" s="1">
        <v>45144</v>
      </c>
      <c r="L219">
        <v>360</v>
      </c>
      <c r="M219">
        <v>300</v>
      </c>
      <c r="N219" t="s">
        <v>20</v>
      </c>
      <c r="O219">
        <v>312</v>
      </c>
    </row>
    <row r="220" spans="1:15" x14ac:dyDescent="0.3">
      <c r="A220">
        <v>219</v>
      </c>
      <c r="B220" t="s">
        <v>254</v>
      </c>
      <c r="C220">
        <v>40</v>
      </c>
      <c r="D220" t="s">
        <v>40</v>
      </c>
      <c r="E220" t="s">
        <v>25</v>
      </c>
      <c r="F220" t="s">
        <v>18</v>
      </c>
      <c r="G220" t="s">
        <v>27</v>
      </c>
      <c r="H220">
        <v>4</v>
      </c>
      <c r="I220">
        <v>19600</v>
      </c>
      <c r="J220" s="1">
        <v>44866</v>
      </c>
      <c r="K220" s="1">
        <v>45260</v>
      </c>
      <c r="L220">
        <v>2432</v>
      </c>
      <c r="M220">
        <v>184</v>
      </c>
      <c r="N220" t="s">
        <v>20</v>
      </c>
      <c r="O220">
        <v>394</v>
      </c>
    </row>
    <row r="221" spans="1:15" x14ac:dyDescent="0.3">
      <c r="A221">
        <v>220</v>
      </c>
      <c r="B221" t="s">
        <v>255</v>
      </c>
      <c r="C221">
        <v>43</v>
      </c>
      <c r="D221" t="s">
        <v>40</v>
      </c>
      <c r="E221" t="s">
        <v>36</v>
      </c>
      <c r="F221" t="s">
        <v>18</v>
      </c>
      <c r="G221" t="s">
        <v>33</v>
      </c>
      <c r="H221">
        <v>9</v>
      </c>
      <c r="I221">
        <v>126000</v>
      </c>
      <c r="J221" s="1">
        <v>44856</v>
      </c>
      <c r="K221" s="1">
        <v>44918</v>
      </c>
      <c r="L221">
        <v>5634</v>
      </c>
      <c r="M221">
        <v>526</v>
      </c>
      <c r="N221" t="s">
        <v>20</v>
      </c>
      <c r="O221">
        <v>62</v>
      </c>
    </row>
    <row r="222" spans="1:15" x14ac:dyDescent="0.3">
      <c r="A222">
        <v>221</v>
      </c>
      <c r="B222" t="s">
        <v>256</v>
      </c>
      <c r="C222">
        <v>39</v>
      </c>
      <c r="D222" t="s">
        <v>22</v>
      </c>
      <c r="E222" t="s">
        <v>36</v>
      </c>
      <c r="F222" t="s">
        <v>18</v>
      </c>
      <c r="G222" t="s">
        <v>19</v>
      </c>
      <c r="H222">
        <v>1</v>
      </c>
      <c r="I222">
        <v>14400</v>
      </c>
      <c r="J222" s="1">
        <v>44642</v>
      </c>
      <c r="K222" s="1">
        <v>44819</v>
      </c>
      <c r="L222">
        <v>618</v>
      </c>
      <c r="M222">
        <v>625</v>
      </c>
      <c r="N222" t="s">
        <v>20</v>
      </c>
      <c r="O222">
        <v>177</v>
      </c>
    </row>
    <row r="223" spans="1:15" x14ac:dyDescent="0.3">
      <c r="A223">
        <v>222</v>
      </c>
      <c r="B223" t="s">
        <v>257</v>
      </c>
      <c r="C223">
        <v>55</v>
      </c>
      <c r="D223" t="s">
        <v>38</v>
      </c>
      <c r="E223" t="s">
        <v>36</v>
      </c>
      <c r="F223" t="s">
        <v>31</v>
      </c>
      <c r="G223" t="s">
        <v>19</v>
      </c>
      <c r="H223">
        <v>5</v>
      </c>
      <c r="I223">
        <v>117000</v>
      </c>
      <c r="J223" s="1">
        <v>44840</v>
      </c>
      <c r="K223" s="1">
        <v>44910</v>
      </c>
      <c r="L223">
        <v>180</v>
      </c>
      <c r="M223">
        <v>534</v>
      </c>
      <c r="N223" t="s">
        <v>20</v>
      </c>
      <c r="O223">
        <v>70</v>
      </c>
    </row>
    <row r="224" spans="1:15" x14ac:dyDescent="0.3">
      <c r="A224">
        <v>223</v>
      </c>
      <c r="B224" t="s">
        <v>258</v>
      </c>
      <c r="C224">
        <v>35</v>
      </c>
      <c r="D224" t="s">
        <v>40</v>
      </c>
      <c r="E224" t="s">
        <v>25</v>
      </c>
      <c r="F224" t="s">
        <v>23</v>
      </c>
      <c r="G224" t="s">
        <v>27</v>
      </c>
      <c r="H224">
        <v>4</v>
      </c>
      <c r="I224">
        <v>4800</v>
      </c>
      <c r="J224" s="1">
        <v>44664</v>
      </c>
      <c r="K224" s="1">
        <v>44875</v>
      </c>
      <c r="L224">
        <v>524</v>
      </c>
      <c r="M224">
        <v>569</v>
      </c>
      <c r="N224" t="s">
        <v>20</v>
      </c>
      <c r="O224">
        <v>211</v>
      </c>
    </row>
    <row r="225" spans="1:15" x14ac:dyDescent="0.3">
      <c r="A225">
        <v>224</v>
      </c>
      <c r="B225" t="s">
        <v>259</v>
      </c>
      <c r="C225">
        <v>56</v>
      </c>
      <c r="D225" t="s">
        <v>46</v>
      </c>
      <c r="E225" t="s">
        <v>17</v>
      </c>
      <c r="F225" t="s">
        <v>31</v>
      </c>
      <c r="G225" t="s">
        <v>19</v>
      </c>
      <c r="H225">
        <v>3</v>
      </c>
      <c r="I225">
        <v>3900</v>
      </c>
      <c r="J225" s="1">
        <v>45049</v>
      </c>
      <c r="K225" s="1">
        <v>45293</v>
      </c>
      <c r="L225">
        <v>126</v>
      </c>
      <c r="M225">
        <v>151</v>
      </c>
      <c r="N225" t="s">
        <v>47</v>
      </c>
      <c r="O225">
        <v>244</v>
      </c>
    </row>
    <row r="226" spans="1:15" x14ac:dyDescent="0.3">
      <c r="A226">
        <v>225</v>
      </c>
      <c r="B226" t="s">
        <v>260</v>
      </c>
      <c r="C226">
        <v>26</v>
      </c>
      <c r="D226" t="s">
        <v>38</v>
      </c>
      <c r="E226" t="s">
        <v>30</v>
      </c>
      <c r="F226" t="s">
        <v>18</v>
      </c>
      <c r="G226" t="s">
        <v>19</v>
      </c>
      <c r="H226">
        <v>10</v>
      </c>
      <c r="I226">
        <v>49000</v>
      </c>
      <c r="J226" s="1">
        <v>45109</v>
      </c>
      <c r="K226" s="1">
        <v>45487</v>
      </c>
      <c r="L226">
        <v>5920</v>
      </c>
      <c r="M226">
        <v>-43</v>
      </c>
      <c r="N226" t="s">
        <v>47</v>
      </c>
      <c r="O226">
        <v>378</v>
      </c>
    </row>
    <row r="227" spans="1:15" x14ac:dyDescent="0.3">
      <c r="A227">
        <v>226</v>
      </c>
      <c r="B227" t="s">
        <v>261</v>
      </c>
      <c r="C227">
        <v>46</v>
      </c>
      <c r="D227" t="s">
        <v>52</v>
      </c>
      <c r="E227" t="s">
        <v>36</v>
      </c>
      <c r="F227" t="s">
        <v>31</v>
      </c>
      <c r="G227" t="s">
        <v>19</v>
      </c>
      <c r="H227">
        <v>8</v>
      </c>
      <c r="I227">
        <v>88800</v>
      </c>
      <c r="J227" s="1">
        <v>44858</v>
      </c>
      <c r="K227" s="1">
        <v>45306</v>
      </c>
      <c r="L227">
        <v>256</v>
      </c>
      <c r="M227">
        <v>138</v>
      </c>
      <c r="N227" t="s">
        <v>47</v>
      </c>
      <c r="O227">
        <v>448</v>
      </c>
    </row>
    <row r="228" spans="1:15" x14ac:dyDescent="0.3">
      <c r="A228">
        <v>227</v>
      </c>
      <c r="B228" t="s">
        <v>262</v>
      </c>
      <c r="C228">
        <v>39</v>
      </c>
      <c r="D228" t="s">
        <v>63</v>
      </c>
      <c r="E228" t="s">
        <v>30</v>
      </c>
      <c r="F228" t="s">
        <v>23</v>
      </c>
      <c r="G228" t="s">
        <v>19</v>
      </c>
      <c r="H228">
        <v>8</v>
      </c>
      <c r="I228">
        <v>66400</v>
      </c>
      <c r="J228" s="1">
        <v>45118</v>
      </c>
      <c r="K228" s="1">
        <v>45386</v>
      </c>
      <c r="L228">
        <v>1128</v>
      </c>
      <c r="M228">
        <v>58</v>
      </c>
      <c r="N228" t="s">
        <v>47</v>
      </c>
      <c r="O228">
        <v>268</v>
      </c>
    </row>
    <row r="229" spans="1:15" x14ac:dyDescent="0.3">
      <c r="A229">
        <v>228</v>
      </c>
      <c r="B229" t="s">
        <v>263</v>
      </c>
      <c r="C229">
        <v>28</v>
      </c>
      <c r="D229" t="s">
        <v>52</v>
      </c>
      <c r="E229" t="s">
        <v>36</v>
      </c>
      <c r="F229" t="s">
        <v>18</v>
      </c>
      <c r="G229" t="s">
        <v>19</v>
      </c>
      <c r="H229">
        <v>6</v>
      </c>
      <c r="I229">
        <v>61800</v>
      </c>
      <c r="J229" s="1">
        <v>45031</v>
      </c>
      <c r="K229" s="1">
        <v>45362</v>
      </c>
      <c r="L229">
        <v>3636</v>
      </c>
      <c r="M229">
        <v>82</v>
      </c>
      <c r="N229" t="s">
        <v>47</v>
      </c>
      <c r="O229">
        <v>331</v>
      </c>
    </row>
    <row r="230" spans="1:15" x14ac:dyDescent="0.3">
      <c r="A230">
        <v>229</v>
      </c>
      <c r="B230" t="s">
        <v>264</v>
      </c>
      <c r="C230">
        <v>57</v>
      </c>
      <c r="D230" t="s">
        <v>52</v>
      </c>
      <c r="E230" t="s">
        <v>17</v>
      </c>
      <c r="F230" t="s">
        <v>18</v>
      </c>
      <c r="G230" t="s">
        <v>19</v>
      </c>
      <c r="H230">
        <v>4</v>
      </c>
      <c r="I230">
        <v>3600</v>
      </c>
      <c r="J230" s="1">
        <v>44977</v>
      </c>
      <c r="K230" s="1">
        <v>45400</v>
      </c>
      <c r="L230">
        <v>2468</v>
      </c>
      <c r="M230">
        <v>44</v>
      </c>
      <c r="N230" t="s">
        <v>47</v>
      </c>
      <c r="O230">
        <v>423</v>
      </c>
    </row>
    <row r="231" spans="1:15" x14ac:dyDescent="0.3">
      <c r="A231">
        <v>230</v>
      </c>
      <c r="B231" t="s">
        <v>265</v>
      </c>
      <c r="C231">
        <v>32</v>
      </c>
      <c r="D231" t="s">
        <v>29</v>
      </c>
      <c r="E231" t="s">
        <v>17</v>
      </c>
      <c r="F231" t="s">
        <v>26</v>
      </c>
      <c r="G231" t="s">
        <v>19</v>
      </c>
      <c r="H231">
        <v>3</v>
      </c>
      <c r="I231">
        <v>4500</v>
      </c>
      <c r="J231" s="1">
        <v>44893</v>
      </c>
      <c r="K231" s="1">
        <v>45372</v>
      </c>
      <c r="L231">
        <v>75</v>
      </c>
      <c r="M231">
        <v>72</v>
      </c>
      <c r="N231" t="s">
        <v>47</v>
      </c>
      <c r="O231">
        <v>479</v>
      </c>
    </row>
    <row r="232" spans="1:15" x14ac:dyDescent="0.3">
      <c r="A232">
        <v>231</v>
      </c>
      <c r="B232" t="s">
        <v>266</v>
      </c>
      <c r="C232">
        <v>49</v>
      </c>
      <c r="D232" t="s">
        <v>63</v>
      </c>
      <c r="E232" t="s">
        <v>30</v>
      </c>
      <c r="F232" t="s">
        <v>26</v>
      </c>
      <c r="G232" t="s">
        <v>19</v>
      </c>
      <c r="H232">
        <v>5</v>
      </c>
      <c r="I232">
        <v>28500</v>
      </c>
      <c r="J232" s="1">
        <v>44871</v>
      </c>
      <c r="K232" s="1">
        <v>45169</v>
      </c>
      <c r="L232">
        <v>230</v>
      </c>
      <c r="M232">
        <v>275</v>
      </c>
      <c r="N232" t="s">
        <v>20</v>
      </c>
      <c r="O232">
        <v>298</v>
      </c>
    </row>
    <row r="233" spans="1:15" x14ac:dyDescent="0.3">
      <c r="A233">
        <v>232</v>
      </c>
      <c r="B233" t="s">
        <v>267</v>
      </c>
      <c r="C233">
        <v>24</v>
      </c>
      <c r="D233" t="s">
        <v>63</v>
      </c>
      <c r="E233" t="s">
        <v>30</v>
      </c>
      <c r="F233" t="s">
        <v>18</v>
      </c>
      <c r="G233" t="s">
        <v>19</v>
      </c>
      <c r="H233">
        <v>2</v>
      </c>
      <c r="I233">
        <v>13600</v>
      </c>
      <c r="J233" s="1">
        <v>44876</v>
      </c>
      <c r="K233" s="1">
        <v>44957</v>
      </c>
      <c r="L233">
        <v>1230</v>
      </c>
      <c r="M233">
        <v>487</v>
      </c>
      <c r="N233" t="s">
        <v>20</v>
      </c>
      <c r="O233">
        <v>81</v>
      </c>
    </row>
    <row r="234" spans="1:15" x14ac:dyDescent="0.3">
      <c r="A234">
        <v>233</v>
      </c>
      <c r="B234" t="s">
        <v>268</v>
      </c>
      <c r="C234">
        <v>60</v>
      </c>
      <c r="D234" t="s">
        <v>38</v>
      </c>
      <c r="E234" t="s">
        <v>17</v>
      </c>
      <c r="F234" t="s">
        <v>18</v>
      </c>
      <c r="G234" t="s">
        <v>19</v>
      </c>
      <c r="H234">
        <v>4</v>
      </c>
      <c r="I234">
        <v>3600</v>
      </c>
      <c r="J234" s="1">
        <v>44698</v>
      </c>
      <c r="K234" s="1">
        <v>44942</v>
      </c>
      <c r="L234">
        <v>2396</v>
      </c>
      <c r="M234">
        <v>502</v>
      </c>
      <c r="N234" t="s">
        <v>20</v>
      </c>
      <c r="O234">
        <v>244</v>
      </c>
    </row>
    <row r="235" spans="1:15" x14ac:dyDescent="0.3">
      <c r="A235">
        <v>234</v>
      </c>
      <c r="B235" t="s">
        <v>269</v>
      </c>
      <c r="C235">
        <v>51</v>
      </c>
      <c r="D235" t="s">
        <v>46</v>
      </c>
      <c r="E235" t="s">
        <v>30</v>
      </c>
      <c r="F235" t="s">
        <v>26</v>
      </c>
      <c r="G235" t="s">
        <v>27</v>
      </c>
      <c r="H235">
        <v>9</v>
      </c>
      <c r="I235">
        <v>86400</v>
      </c>
      <c r="J235" s="1">
        <v>44785</v>
      </c>
      <c r="K235" s="1">
        <v>45175</v>
      </c>
      <c r="L235">
        <v>225</v>
      </c>
      <c r="M235">
        <v>269</v>
      </c>
      <c r="N235" t="s">
        <v>20</v>
      </c>
      <c r="O235">
        <v>390</v>
      </c>
    </row>
    <row r="236" spans="1:15" x14ac:dyDescent="0.3">
      <c r="A236">
        <v>235</v>
      </c>
      <c r="B236" t="s">
        <v>270</v>
      </c>
      <c r="C236">
        <v>57</v>
      </c>
      <c r="D236" t="s">
        <v>16</v>
      </c>
      <c r="E236" t="s">
        <v>36</v>
      </c>
      <c r="F236" t="s">
        <v>18</v>
      </c>
      <c r="G236" t="s">
        <v>19</v>
      </c>
      <c r="H236">
        <v>2</v>
      </c>
      <c r="I236">
        <v>14000</v>
      </c>
      <c r="J236" s="1">
        <v>45122</v>
      </c>
      <c r="K236" s="1">
        <v>45584</v>
      </c>
      <c r="L236">
        <v>1244</v>
      </c>
      <c r="M236">
        <v>-140</v>
      </c>
      <c r="N236" t="s">
        <v>47</v>
      </c>
      <c r="O236">
        <v>462</v>
      </c>
    </row>
    <row r="237" spans="1:15" x14ac:dyDescent="0.3">
      <c r="A237">
        <v>236</v>
      </c>
      <c r="B237" t="s">
        <v>271</v>
      </c>
      <c r="C237">
        <v>54</v>
      </c>
      <c r="D237" t="s">
        <v>40</v>
      </c>
      <c r="E237" t="s">
        <v>25</v>
      </c>
      <c r="F237" t="s">
        <v>31</v>
      </c>
      <c r="G237" t="s">
        <v>19</v>
      </c>
      <c r="H237">
        <v>8</v>
      </c>
      <c r="I237">
        <v>12000</v>
      </c>
      <c r="J237" s="1">
        <v>44772</v>
      </c>
      <c r="K237" s="1">
        <v>45139</v>
      </c>
      <c r="L237">
        <v>536</v>
      </c>
      <c r="M237">
        <v>305</v>
      </c>
      <c r="N237" t="s">
        <v>20</v>
      </c>
      <c r="O237">
        <v>367</v>
      </c>
    </row>
    <row r="238" spans="1:15" x14ac:dyDescent="0.3">
      <c r="A238">
        <v>237</v>
      </c>
      <c r="B238" t="s">
        <v>272</v>
      </c>
      <c r="C238">
        <v>50</v>
      </c>
      <c r="D238" t="s">
        <v>46</v>
      </c>
      <c r="E238" t="s">
        <v>17</v>
      </c>
      <c r="F238" t="s">
        <v>26</v>
      </c>
      <c r="G238" t="s">
        <v>19</v>
      </c>
      <c r="H238">
        <v>3</v>
      </c>
      <c r="I238">
        <v>4800</v>
      </c>
      <c r="J238" s="1">
        <v>44987</v>
      </c>
      <c r="K238" s="1">
        <v>45220</v>
      </c>
      <c r="L238">
        <v>138</v>
      </c>
      <c r="M238">
        <v>224</v>
      </c>
      <c r="N238" t="s">
        <v>20</v>
      </c>
      <c r="O238">
        <v>233</v>
      </c>
    </row>
    <row r="239" spans="1:15" x14ac:dyDescent="0.3">
      <c r="A239">
        <v>238</v>
      </c>
      <c r="B239" t="s">
        <v>273</v>
      </c>
      <c r="C239">
        <v>46</v>
      </c>
      <c r="D239" t="s">
        <v>63</v>
      </c>
      <c r="E239" t="s">
        <v>36</v>
      </c>
      <c r="F239" t="s">
        <v>18</v>
      </c>
      <c r="G239" t="s">
        <v>19</v>
      </c>
      <c r="H239">
        <v>5</v>
      </c>
      <c r="I239">
        <v>25500</v>
      </c>
      <c r="J239" s="1">
        <v>44785</v>
      </c>
      <c r="K239" s="1">
        <v>45081</v>
      </c>
      <c r="L239">
        <v>2970</v>
      </c>
      <c r="M239">
        <v>363</v>
      </c>
      <c r="N239" t="s">
        <v>20</v>
      </c>
      <c r="O239">
        <v>296</v>
      </c>
    </row>
    <row r="240" spans="1:15" x14ac:dyDescent="0.3">
      <c r="A240">
        <v>239</v>
      </c>
      <c r="B240" t="s">
        <v>274</v>
      </c>
      <c r="C240">
        <v>55</v>
      </c>
      <c r="D240" t="s">
        <v>63</v>
      </c>
      <c r="E240" t="s">
        <v>36</v>
      </c>
      <c r="F240" t="s">
        <v>18</v>
      </c>
      <c r="G240" t="s">
        <v>19</v>
      </c>
      <c r="H240">
        <v>1</v>
      </c>
      <c r="I240">
        <v>7300</v>
      </c>
      <c r="J240" s="1">
        <v>45045</v>
      </c>
      <c r="K240" s="1">
        <v>45061</v>
      </c>
      <c r="L240">
        <v>608</v>
      </c>
      <c r="M240">
        <v>383</v>
      </c>
      <c r="N240" t="s">
        <v>20</v>
      </c>
      <c r="O240">
        <v>16</v>
      </c>
    </row>
    <row r="241" spans="1:15" x14ac:dyDescent="0.3">
      <c r="A241">
        <v>240</v>
      </c>
      <c r="B241" t="s">
        <v>275</v>
      </c>
      <c r="C241">
        <v>44</v>
      </c>
      <c r="D241" t="s">
        <v>22</v>
      </c>
      <c r="E241" t="s">
        <v>25</v>
      </c>
      <c r="F241" t="s">
        <v>31</v>
      </c>
      <c r="G241" t="s">
        <v>33</v>
      </c>
      <c r="H241">
        <v>7</v>
      </c>
      <c r="I241">
        <v>19600</v>
      </c>
      <c r="J241" s="1">
        <v>44948</v>
      </c>
      <c r="K241" s="1">
        <v>45140</v>
      </c>
      <c r="L241">
        <v>245</v>
      </c>
      <c r="M241">
        <v>304</v>
      </c>
      <c r="N241" t="s">
        <v>20</v>
      </c>
      <c r="O241">
        <v>192</v>
      </c>
    </row>
    <row r="242" spans="1:15" x14ac:dyDescent="0.3">
      <c r="A242">
        <v>241</v>
      </c>
      <c r="B242" t="s">
        <v>276</v>
      </c>
      <c r="C242">
        <v>55</v>
      </c>
      <c r="D242" t="s">
        <v>52</v>
      </c>
      <c r="E242" t="s">
        <v>30</v>
      </c>
      <c r="F242" t="s">
        <v>23</v>
      </c>
      <c r="G242" t="s">
        <v>19</v>
      </c>
      <c r="H242">
        <v>7</v>
      </c>
      <c r="I242">
        <v>51100</v>
      </c>
      <c r="J242" s="1">
        <v>44692</v>
      </c>
      <c r="K242" s="1">
        <v>45064</v>
      </c>
      <c r="L242">
        <v>868</v>
      </c>
      <c r="M242">
        <v>380</v>
      </c>
      <c r="N242" t="s">
        <v>20</v>
      </c>
      <c r="O242">
        <v>372</v>
      </c>
    </row>
    <row r="243" spans="1:15" x14ac:dyDescent="0.3">
      <c r="A243">
        <v>242</v>
      </c>
      <c r="B243" t="s">
        <v>277</v>
      </c>
      <c r="C243">
        <v>64</v>
      </c>
      <c r="D243" t="s">
        <v>63</v>
      </c>
      <c r="E243" t="s">
        <v>17</v>
      </c>
      <c r="F243" t="s">
        <v>18</v>
      </c>
      <c r="G243" t="s">
        <v>33</v>
      </c>
      <c r="H243">
        <v>9</v>
      </c>
      <c r="I243">
        <v>12600</v>
      </c>
      <c r="J243" s="1">
        <v>45106</v>
      </c>
      <c r="K243" s="1">
        <v>45300</v>
      </c>
      <c r="L243">
        <v>5436</v>
      </c>
      <c r="M243">
        <v>144</v>
      </c>
      <c r="N243" t="s">
        <v>47</v>
      </c>
      <c r="O243">
        <v>194</v>
      </c>
    </row>
    <row r="244" spans="1:15" x14ac:dyDescent="0.3">
      <c r="A244">
        <v>243</v>
      </c>
      <c r="B244" t="s">
        <v>278</v>
      </c>
      <c r="C244">
        <v>38</v>
      </c>
      <c r="D244" t="s">
        <v>40</v>
      </c>
      <c r="E244" t="s">
        <v>36</v>
      </c>
      <c r="F244" t="s">
        <v>18</v>
      </c>
      <c r="G244" t="s">
        <v>19</v>
      </c>
      <c r="H244">
        <v>4</v>
      </c>
      <c r="I244">
        <v>34800</v>
      </c>
      <c r="J244" s="1">
        <v>44594</v>
      </c>
      <c r="K244" s="1">
        <v>45008</v>
      </c>
      <c r="L244">
        <v>2464</v>
      </c>
      <c r="M244">
        <v>436</v>
      </c>
      <c r="N244" t="s">
        <v>20</v>
      </c>
      <c r="O244">
        <v>414</v>
      </c>
    </row>
    <row r="245" spans="1:15" x14ac:dyDescent="0.3">
      <c r="A245">
        <v>244</v>
      </c>
      <c r="B245" t="s">
        <v>279</v>
      </c>
      <c r="C245">
        <v>27</v>
      </c>
      <c r="D245" t="s">
        <v>63</v>
      </c>
      <c r="E245" t="s">
        <v>25</v>
      </c>
      <c r="F245" t="s">
        <v>31</v>
      </c>
      <c r="G245" t="s">
        <v>19</v>
      </c>
      <c r="H245">
        <v>10</v>
      </c>
      <c r="I245">
        <v>11000</v>
      </c>
      <c r="J245" s="1">
        <v>45019</v>
      </c>
      <c r="K245" s="1">
        <v>45325</v>
      </c>
      <c r="L245">
        <v>330</v>
      </c>
      <c r="M245">
        <v>119</v>
      </c>
      <c r="N245" t="s">
        <v>47</v>
      </c>
      <c r="O245">
        <v>306</v>
      </c>
    </row>
    <row r="246" spans="1:15" x14ac:dyDescent="0.3">
      <c r="A246">
        <v>245</v>
      </c>
      <c r="B246" t="s">
        <v>280</v>
      </c>
      <c r="C246">
        <v>35</v>
      </c>
      <c r="D246" t="s">
        <v>40</v>
      </c>
      <c r="E246" t="s">
        <v>17</v>
      </c>
      <c r="F246" t="s">
        <v>26</v>
      </c>
      <c r="G246" t="s">
        <v>33</v>
      </c>
      <c r="H246">
        <v>9</v>
      </c>
      <c r="I246">
        <v>8100</v>
      </c>
      <c r="J246" s="1">
        <v>44619</v>
      </c>
      <c r="K246" s="1">
        <v>44690</v>
      </c>
      <c r="L246">
        <v>378</v>
      </c>
      <c r="M246">
        <v>754</v>
      </c>
      <c r="N246" t="s">
        <v>20</v>
      </c>
      <c r="O246">
        <v>71</v>
      </c>
    </row>
    <row r="247" spans="1:15" x14ac:dyDescent="0.3">
      <c r="A247">
        <v>246</v>
      </c>
      <c r="B247" t="s">
        <v>281</v>
      </c>
      <c r="C247">
        <v>59</v>
      </c>
      <c r="D247" t="s">
        <v>38</v>
      </c>
      <c r="E247" t="s">
        <v>25</v>
      </c>
      <c r="F247" t="s">
        <v>18</v>
      </c>
      <c r="G247" t="s">
        <v>27</v>
      </c>
      <c r="H247">
        <v>6</v>
      </c>
      <c r="I247">
        <v>12000</v>
      </c>
      <c r="J247" s="1">
        <v>44871</v>
      </c>
      <c r="K247" s="1">
        <v>45319</v>
      </c>
      <c r="L247">
        <v>3594</v>
      </c>
      <c r="M247">
        <v>125</v>
      </c>
      <c r="N247" t="s">
        <v>47</v>
      </c>
      <c r="O247">
        <v>448</v>
      </c>
    </row>
    <row r="248" spans="1:15" x14ac:dyDescent="0.3">
      <c r="A248">
        <v>247</v>
      </c>
      <c r="B248" t="s">
        <v>282</v>
      </c>
      <c r="C248">
        <v>24</v>
      </c>
      <c r="D248" t="s">
        <v>40</v>
      </c>
      <c r="E248" t="s">
        <v>36</v>
      </c>
      <c r="F248" t="s">
        <v>18</v>
      </c>
      <c r="G248" t="s">
        <v>19</v>
      </c>
      <c r="H248">
        <v>9</v>
      </c>
      <c r="I248">
        <v>219600</v>
      </c>
      <c r="J248" s="1">
        <v>44741</v>
      </c>
      <c r="K248" s="1">
        <v>45061</v>
      </c>
      <c r="L248">
        <v>5553</v>
      </c>
      <c r="M248">
        <v>383</v>
      </c>
      <c r="N248" t="s">
        <v>20</v>
      </c>
      <c r="O248">
        <v>320</v>
      </c>
    </row>
    <row r="249" spans="1:15" x14ac:dyDescent="0.3">
      <c r="A249">
        <v>248</v>
      </c>
      <c r="B249" t="s">
        <v>283</v>
      </c>
      <c r="C249">
        <v>54</v>
      </c>
      <c r="D249" t="s">
        <v>46</v>
      </c>
      <c r="E249" t="s">
        <v>17</v>
      </c>
      <c r="F249" t="s">
        <v>18</v>
      </c>
      <c r="G249" t="s">
        <v>33</v>
      </c>
      <c r="H249">
        <v>6</v>
      </c>
      <c r="I249">
        <v>11400</v>
      </c>
      <c r="J249" s="1">
        <v>44988</v>
      </c>
      <c r="K249" s="1">
        <v>45197</v>
      </c>
      <c r="L249">
        <v>3594</v>
      </c>
      <c r="M249">
        <v>247</v>
      </c>
      <c r="N249" t="s">
        <v>20</v>
      </c>
      <c r="O249">
        <v>209</v>
      </c>
    </row>
    <row r="250" spans="1:15" x14ac:dyDescent="0.3">
      <c r="A250">
        <v>249</v>
      </c>
      <c r="B250" t="s">
        <v>284</v>
      </c>
      <c r="C250">
        <v>51</v>
      </c>
      <c r="D250" t="s">
        <v>38</v>
      </c>
      <c r="E250" t="s">
        <v>36</v>
      </c>
      <c r="F250" t="s">
        <v>31</v>
      </c>
      <c r="G250" t="s">
        <v>27</v>
      </c>
      <c r="H250">
        <v>4</v>
      </c>
      <c r="I250">
        <v>49600</v>
      </c>
      <c r="J250" s="1">
        <v>44869</v>
      </c>
      <c r="K250" s="1">
        <v>45308</v>
      </c>
      <c r="L250">
        <v>156</v>
      </c>
      <c r="M250">
        <v>136</v>
      </c>
      <c r="N250" t="s">
        <v>47</v>
      </c>
      <c r="O250">
        <v>439</v>
      </c>
    </row>
    <row r="251" spans="1:15" x14ac:dyDescent="0.3">
      <c r="A251">
        <v>250</v>
      </c>
      <c r="B251" t="s">
        <v>285</v>
      </c>
      <c r="C251">
        <v>56</v>
      </c>
      <c r="D251" t="s">
        <v>46</v>
      </c>
      <c r="E251" t="s">
        <v>17</v>
      </c>
      <c r="F251" t="s">
        <v>26</v>
      </c>
      <c r="G251" t="s">
        <v>33</v>
      </c>
      <c r="H251">
        <v>9</v>
      </c>
      <c r="I251">
        <v>7200</v>
      </c>
      <c r="J251" s="1">
        <v>44959</v>
      </c>
      <c r="K251" s="1">
        <v>45083</v>
      </c>
      <c r="L251">
        <v>234</v>
      </c>
      <c r="M251">
        <v>361</v>
      </c>
      <c r="N251" t="s">
        <v>20</v>
      </c>
      <c r="O251">
        <v>124</v>
      </c>
    </row>
    <row r="252" spans="1:15" x14ac:dyDescent="0.3">
      <c r="A252">
        <v>251</v>
      </c>
      <c r="B252" t="s">
        <v>286</v>
      </c>
      <c r="C252">
        <v>44</v>
      </c>
      <c r="D252" t="s">
        <v>40</v>
      </c>
      <c r="E252" t="s">
        <v>30</v>
      </c>
      <c r="F252" t="s">
        <v>23</v>
      </c>
      <c r="G252" t="s">
        <v>33</v>
      </c>
      <c r="H252">
        <v>2</v>
      </c>
      <c r="I252">
        <v>14800</v>
      </c>
      <c r="J252" s="1">
        <v>44757</v>
      </c>
      <c r="K252" s="1">
        <v>44783</v>
      </c>
      <c r="L252">
        <v>254</v>
      </c>
      <c r="M252">
        <v>661</v>
      </c>
      <c r="N252" t="s">
        <v>20</v>
      </c>
      <c r="O252">
        <v>26</v>
      </c>
    </row>
    <row r="253" spans="1:15" x14ac:dyDescent="0.3">
      <c r="A253">
        <v>252</v>
      </c>
      <c r="B253" t="s">
        <v>287</v>
      </c>
      <c r="C253">
        <v>58</v>
      </c>
      <c r="D253" t="s">
        <v>22</v>
      </c>
      <c r="E253" t="s">
        <v>17</v>
      </c>
      <c r="F253" t="s">
        <v>23</v>
      </c>
      <c r="G253" t="s">
        <v>19</v>
      </c>
      <c r="H253">
        <v>9</v>
      </c>
      <c r="I253">
        <v>8100</v>
      </c>
      <c r="J253" s="1">
        <v>45052</v>
      </c>
      <c r="K253" s="1">
        <v>45158</v>
      </c>
      <c r="L253">
        <v>1179</v>
      </c>
      <c r="M253">
        <v>286</v>
      </c>
      <c r="N253" t="s">
        <v>20</v>
      </c>
      <c r="O253">
        <v>106</v>
      </c>
    </row>
    <row r="254" spans="1:15" x14ac:dyDescent="0.3">
      <c r="A254">
        <v>253</v>
      </c>
      <c r="B254" t="s">
        <v>288</v>
      </c>
      <c r="C254">
        <v>28</v>
      </c>
      <c r="D254" t="s">
        <v>38</v>
      </c>
      <c r="E254" t="s">
        <v>17</v>
      </c>
      <c r="F254" t="s">
        <v>31</v>
      </c>
      <c r="G254" t="s">
        <v>19</v>
      </c>
      <c r="H254">
        <v>8</v>
      </c>
      <c r="I254">
        <v>8000</v>
      </c>
      <c r="J254" s="1">
        <v>44771</v>
      </c>
      <c r="K254" s="1">
        <v>44974</v>
      </c>
      <c r="L254">
        <v>360</v>
      </c>
      <c r="M254">
        <v>470</v>
      </c>
      <c r="N254" t="s">
        <v>20</v>
      </c>
      <c r="O254">
        <v>203</v>
      </c>
    </row>
    <row r="255" spans="1:15" x14ac:dyDescent="0.3">
      <c r="A255">
        <v>254</v>
      </c>
      <c r="B255" t="s">
        <v>289</v>
      </c>
      <c r="C255">
        <v>55</v>
      </c>
      <c r="D255" t="s">
        <v>29</v>
      </c>
      <c r="E255" t="s">
        <v>30</v>
      </c>
      <c r="F255" t="s">
        <v>26</v>
      </c>
      <c r="G255" t="s">
        <v>33</v>
      </c>
      <c r="H255">
        <v>6</v>
      </c>
      <c r="I255">
        <v>33000</v>
      </c>
      <c r="J255" s="1">
        <v>44829</v>
      </c>
      <c r="K255" s="1">
        <v>45013</v>
      </c>
      <c r="L255">
        <v>252</v>
      </c>
      <c r="M255">
        <v>431</v>
      </c>
      <c r="N255" t="s">
        <v>20</v>
      </c>
      <c r="O255">
        <v>184</v>
      </c>
    </row>
    <row r="256" spans="1:15" x14ac:dyDescent="0.3">
      <c r="A256">
        <v>255</v>
      </c>
      <c r="B256" t="s">
        <v>290</v>
      </c>
      <c r="C256">
        <v>41</v>
      </c>
      <c r="D256" t="s">
        <v>46</v>
      </c>
      <c r="E256" t="s">
        <v>36</v>
      </c>
      <c r="F256" t="s">
        <v>23</v>
      </c>
      <c r="G256" t="s">
        <v>33</v>
      </c>
      <c r="H256">
        <v>4</v>
      </c>
      <c r="I256">
        <v>68400</v>
      </c>
      <c r="J256" s="1">
        <v>44882</v>
      </c>
      <c r="K256" s="1">
        <v>45093</v>
      </c>
      <c r="L256">
        <v>448</v>
      </c>
      <c r="M256">
        <v>351</v>
      </c>
      <c r="N256" t="s">
        <v>20</v>
      </c>
      <c r="O256">
        <v>211</v>
      </c>
    </row>
    <row r="257" spans="1:15" x14ac:dyDescent="0.3">
      <c r="A257">
        <v>256</v>
      </c>
      <c r="B257" t="s">
        <v>291</v>
      </c>
      <c r="C257">
        <v>56</v>
      </c>
      <c r="D257" t="s">
        <v>40</v>
      </c>
      <c r="E257" t="s">
        <v>25</v>
      </c>
      <c r="F257" t="s">
        <v>23</v>
      </c>
      <c r="G257" t="s">
        <v>19</v>
      </c>
      <c r="H257">
        <v>10</v>
      </c>
      <c r="I257">
        <v>34000</v>
      </c>
      <c r="J257" s="1">
        <v>44989</v>
      </c>
      <c r="K257" s="1">
        <v>45140</v>
      </c>
      <c r="L257">
        <v>1190</v>
      </c>
      <c r="M257">
        <v>304</v>
      </c>
      <c r="N257" t="s">
        <v>20</v>
      </c>
      <c r="O257">
        <v>151</v>
      </c>
    </row>
    <row r="258" spans="1:15" x14ac:dyDescent="0.3">
      <c r="A258">
        <v>257</v>
      </c>
      <c r="B258" t="s">
        <v>292</v>
      </c>
      <c r="C258">
        <v>57</v>
      </c>
      <c r="D258" t="s">
        <v>40</v>
      </c>
      <c r="E258" t="s">
        <v>30</v>
      </c>
      <c r="F258" t="s">
        <v>31</v>
      </c>
      <c r="G258" t="s">
        <v>33</v>
      </c>
      <c r="H258">
        <v>4</v>
      </c>
      <c r="I258">
        <v>28400</v>
      </c>
      <c r="J258" s="1">
        <v>45125</v>
      </c>
      <c r="K258" s="1">
        <v>45460</v>
      </c>
      <c r="L258">
        <v>204</v>
      </c>
      <c r="M258">
        <v>-16</v>
      </c>
      <c r="N258" t="s">
        <v>47</v>
      </c>
      <c r="O258">
        <v>335</v>
      </c>
    </row>
    <row r="259" spans="1:15" x14ac:dyDescent="0.3">
      <c r="A259">
        <v>258</v>
      </c>
      <c r="B259" t="s">
        <v>293</v>
      </c>
      <c r="C259">
        <v>31</v>
      </c>
      <c r="D259" t="s">
        <v>38</v>
      </c>
      <c r="E259" t="s">
        <v>36</v>
      </c>
      <c r="F259" t="s">
        <v>26</v>
      </c>
      <c r="G259" t="s">
        <v>33</v>
      </c>
      <c r="H259">
        <v>6</v>
      </c>
      <c r="I259">
        <v>63000</v>
      </c>
      <c r="J259" s="1">
        <v>44705</v>
      </c>
      <c r="K259" s="1">
        <v>45073</v>
      </c>
      <c r="L259">
        <v>264</v>
      </c>
      <c r="M259">
        <v>371</v>
      </c>
      <c r="N259" t="s">
        <v>20</v>
      </c>
      <c r="O259">
        <v>368</v>
      </c>
    </row>
    <row r="260" spans="1:15" x14ac:dyDescent="0.3">
      <c r="A260">
        <v>259</v>
      </c>
      <c r="B260" t="s">
        <v>294</v>
      </c>
      <c r="C260">
        <v>23</v>
      </c>
      <c r="D260" t="s">
        <v>46</v>
      </c>
      <c r="E260" t="s">
        <v>25</v>
      </c>
      <c r="F260" t="s">
        <v>23</v>
      </c>
      <c r="G260" t="s">
        <v>27</v>
      </c>
      <c r="H260">
        <v>2</v>
      </c>
      <c r="I260">
        <v>9800</v>
      </c>
      <c r="J260" s="1">
        <v>44611</v>
      </c>
      <c r="K260" s="1">
        <v>45002</v>
      </c>
      <c r="L260">
        <v>220</v>
      </c>
      <c r="M260">
        <v>442</v>
      </c>
      <c r="N260" t="s">
        <v>20</v>
      </c>
      <c r="O260">
        <v>391</v>
      </c>
    </row>
    <row r="261" spans="1:15" x14ac:dyDescent="0.3">
      <c r="A261">
        <v>260</v>
      </c>
      <c r="B261" t="s">
        <v>295</v>
      </c>
      <c r="C261">
        <v>30</v>
      </c>
      <c r="D261" t="s">
        <v>22</v>
      </c>
      <c r="E261" t="s">
        <v>25</v>
      </c>
      <c r="F261" t="s">
        <v>31</v>
      </c>
      <c r="G261" t="s">
        <v>19</v>
      </c>
      <c r="H261">
        <v>1</v>
      </c>
      <c r="I261">
        <v>1900</v>
      </c>
      <c r="J261" s="1">
        <v>45079</v>
      </c>
      <c r="K261" s="1">
        <v>45312</v>
      </c>
      <c r="L261">
        <v>53</v>
      </c>
      <c r="M261">
        <v>132</v>
      </c>
      <c r="N261" t="s">
        <v>47</v>
      </c>
      <c r="O261">
        <v>233</v>
      </c>
    </row>
    <row r="262" spans="1:15" x14ac:dyDescent="0.3">
      <c r="A262">
        <v>261</v>
      </c>
      <c r="B262" t="s">
        <v>296</v>
      </c>
      <c r="C262">
        <v>21</v>
      </c>
      <c r="D262" t="s">
        <v>63</v>
      </c>
      <c r="E262" t="s">
        <v>36</v>
      </c>
      <c r="F262" t="s">
        <v>26</v>
      </c>
      <c r="G262" t="s">
        <v>19</v>
      </c>
      <c r="H262">
        <v>9</v>
      </c>
      <c r="I262">
        <v>207900</v>
      </c>
      <c r="J262" s="1">
        <v>44983</v>
      </c>
      <c r="K262" s="1">
        <v>44989</v>
      </c>
      <c r="L262">
        <v>99</v>
      </c>
      <c r="M262">
        <v>455</v>
      </c>
      <c r="N262" t="s">
        <v>20</v>
      </c>
      <c r="O262">
        <v>6</v>
      </c>
    </row>
    <row r="263" spans="1:15" x14ac:dyDescent="0.3">
      <c r="A263">
        <v>262</v>
      </c>
      <c r="B263" t="s">
        <v>297</v>
      </c>
      <c r="C263">
        <v>65</v>
      </c>
      <c r="D263" t="s">
        <v>38</v>
      </c>
      <c r="E263" t="s">
        <v>30</v>
      </c>
      <c r="F263" t="s">
        <v>23</v>
      </c>
      <c r="G263" t="s">
        <v>27</v>
      </c>
      <c r="H263">
        <v>7</v>
      </c>
      <c r="I263">
        <v>67200</v>
      </c>
      <c r="J263" s="1">
        <v>44745</v>
      </c>
      <c r="K263" s="1">
        <v>44799</v>
      </c>
      <c r="L263">
        <v>812</v>
      </c>
      <c r="M263">
        <v>645</v>
      </c>
      <c r="N263" t="s">
        <v>20</v>
      </c>
      <c r="O263">
        <v>54</v>
      </c>
    </row>
    <row r="264" spans="1:15" x14ac:dyDescent="0.3">
      <c r="A264">
        <v>263</v>
      </c>
      <c r="B264" t="s">
        <v>298</v>
      </c>
      <c r="C264">
        <v>54</v>
      </c>
      <c r="D264" t="s">
        <v>52</v>
      </c>
      <c r="E264" t="s">
        <v>25</v>
      </c>
      <c r="F264" t="s">
        <v>31</v>
      </c>
      <c r="G264" t="s">
        <v>27</v>
      </c>
      <c r="H264">
        <v>5</v>
      </c>
      <c r="I264">
        <v>21500</v>
      </c>
      <c r="J264" s="1">
        <v>44924</v>
      </c>
      <c r="K264" s="1">
        <v>45060</v>
      </c>
      <c r="L264">
        <v>275</v>
      </c>
      <c r="M264">
        <v>384</v>
      </c>
      <c r="N264" t="s">
        <v>20</v>
      </c>
      <c r="O264">
        <v>136</v>
      </c>
    </row>
    <row r="265" spans="1:15" x14ac:dyDescent="0.3">
      <c r="A265">
        <v>264</v>
      </c>
      <c r="B265" t="s">
        <v>299</v>
      </c>
      <c r="C265">
        <v>57</v>
      </c>
      <c r="D265" t="s">
        <v>16</v>
      </c>
      <c r="E265" t="s">
        <v>30</v>
      </c>
      <c r="F265" t="s">
        <v>26</v>
      </c>
      <c r="G265" t="s">
        <v>33</v>
      </c>
      <c r="H265">
        <v>4</v>
      </c>
      <c r="I265">
        <v>34800</v>
      </c>
      <c r="J265" s="1">
        <v>44793</v>
      </c>
      <c r="K265" s="1">
        <v>44946</v>
      </c>
      <c r="L265">
        <v>60</v>
      </c>
      <c r="M265">
        <v>498</v>
      </c>
      <c r="N265" t="s">
        <v>20</v>
      </c>
      <c r="O265">
        <v>153</v>
      </c>
    </row>
    <row r="266" spans="1:15" x14ac:dyDescent="0.3">
      <c r="A266">
        <v>265</v>
      </c>
      <c r="B266" t="s">
        <v>300</v>
      </c>
      <c r="C266">
        <v>45</v>
      </c>
      <c r="D266" t="s">
        <v>63</v>
      </c>
      <c r="E266" t="s">
        <v>17</v>
      </c>
      <c r="F266" t="s">
        <v>26</v>
      </c>
      <c r="G266" t="s">
        <v>33</v>
      </c>
      <c r="H266">
        <v>9</v>
      </c>
      <c r="I266">
        <v>13500</v>
      </c>
      <c r="J266" s="1">
        <v>44619</v>
      </c>
      <c r="K266" s="1">
        <v>44945</v>
      </c>
      <c r="L266">
        <v>90</v>
      </c>
      <c r="M266">
        <v>499</v>
      </c>
      <c r="N266" t="s">
        <v>20</v>
      </c>
      <c r="O266">
        <v>326</v>
      </c>
    </row>
    <row r="267" spans="1:15" x14ac:dyDescent="0.3">
      <c r="A267">
        <v>266</v>
      </c>
      <c r="B267" t="s">
        <v>301</v>
      </c>
      <c r="C267">
        <v>62</v>
      </c>
      <c r="D267" t="s">
        <v>52</v>
      </c>
      <c r="E267" t="s">
        <v>17</v>
      </c>
      <c r="F267" t="s">
        <v>26</v>
      </c>
      <c r="G267" t="s">
        <v>33</v>
      </c>
      <c r="H267">
        <v>6</v>
      </c>
      <c r="I267">
        <v>10200</v>
      </c>
      <c r="J267" s="1">
        <v>44659</v>
      </c>
      <c r="K267" s="1">
        <v>45117</v>
      </c>
      <c r="L267">
        <v>258</v>
      </c>
      <c r="M267">
        <v>327</v>
      </c>
      <c r="N267" t="s">
        <v>20</v>
      </c>
      <c r="O267">
        <v>458</v>
      </c>
    </row>
    <row r="268" spans="1:15" x14ac:dyDescent="0.3">
      <c r="A268">
        <v>267</v>
      </c>
      <c r="B268" t="s">
        <v>302</v>
      </c>
      <c r="C268">
        <v>51</v>
      </c>
      <c r="D268" t="s">
        <v>63</v>
      </c>
      <c r="E268" t="s">
        <v>25</v>
      </c>
      <c r="F268" t="s">
        <v>31</v>
      </c>
      <c r="G268" t="s">
        <v>27</v>
      </c>
      <c r="H268">
        <v>5</v>
      </c>
      <c r="I268">
        <v>6000</v>
      </c>
      <c r="J268" s="1">
        <v>44638</v>
      </c>
      <c r="K268" s="1">
        <v>44988</v>
      </c>
      <c r="L268">
        <v>235</v>
      </c>
      <c r="M268">
        <v>456</v>
      </c>
      <c r="N268" t="s">
        <v>20</v>
      </c>
      <c r="O268">
        <v>350</v>
      </c>
    </row>
    <row r="269" spans="1:15" x14ac:dyDescent="0.3">
      <c r="A269">
        <v>268</v>
      </c>
      <c r="B269" t="s">
        <v>303</v>
      </c>
      <c r="C269">
        <v>34</v>
      </c>
      <c r="D269" t="s">
        <v>63</v>
      </c>
      <c r="E269" t="s">
        <v>25</v>
      </c>
      <c r="F269" t="s">
        <v>18</v>
      </c>
      <c r="G269" t="s">
        <v>19</v>
      </c>
      <c r="H269">
        <v>10</v>
      </c>
      <c r="I269">
        <v>16000</v>
      </c>
      <c r="J269" s="1">
        <v>44969</v>
      </c>
      <c r="K269" s="1">
        <v>45444</v>
      </c>
      <c r="L269">
        <v>5940</v>
      </c>
      <c r="M269">
        <v>0</v>
      </c>
      <c r="N269" t="s">
        <v>47</v>
      </c>
      <c r="O269">
        <v>475</v>
      </c>
    </row>
    <row r="270" spans="1:15" x14ac:dyDescent="0.3">
      <c r="A270">
        <v>269</v>
      </c>
      <c r="B270" t="s">
        <v>304</v>
      </c>
      <c r="C270">
        <v>45</v>
      </c>
      <c r="D270" t="s">
        <v>38</v>
      </c>
      <c r="E270" t="s">
        <v>25</v>
      </c>
      <c r="F270" t="s">
        <v>31</v>
      </c>
      <c r="G270" t="s">
        <v>27</v>
      </c>
      <c r="H270">
        <v>9</v>
      </c>
      <c r="I270">
        <v>21600</v>
      </c>
      <c r="J270" s="1">
        <v>44955</v>
      </c>
      <c r="K270" s="1">
        <v>45341</v>
      </c>
      <c r="L270">
        <v>342</v>
      </c>
      <c r="M270">
        <v>103</v>
      </c>
      <c r="N270" t="s">
        <v>47</v>
      </c>
      <c r="O270">
        <v>386</v>
      </c>
    </row>
    <row r="271" spans="1:15" x14ac:dyDescent="0.3">
      <c r="A271">
        <v>270</v>
      </c>
      <c r="B271" t="s">
        <v>305</v>
      </c>
      <c r="C271">
        <v>48</v>
      </c>
      <c r="D271" t="s">
        <v>16</v>
      </c>
      <c r="E271" t="s">
        <v>30</v>
      </c>
      <c r="F271" t="s">
        <v>23</v>
      </c>
      <c r="G271" t="s">
        <v>19</v>
      </c>
      <c r="H271">
        <v>4</v>
      </c>
      <c r="I271">
        <v>39600</v>
      </c>
      <c r="J271" s="1">
        <v>44639</v>
      </c>
      <c r="K271" s="1">
        <v>44813</v>
      </c>
      <c r="L271">
        <v>592</v>
      </c>
      <c r="M271">
        <v>631</v>
      </c>
      <c r="N271" t="s">
        <v>20</v>
      </c>
      <c r="O271">
        <v>174</v>
      </c>
    </row>
    <row r="272" spans="1:15" x14ac:dyDescent="0.3">
      <c r="A272">
        <v>271</v>
      </c>
      <c r="B272" t="s">
        <v>306</v>
      </c>
      <c r="C272">
        <v>49</v>
      </c>
      <c r="D272" t="s">
        <v>22</v>
      </c>
      <c r="E272" t="s">
        <v>30</v>
      </c>
      <c r="F272" t="s">
        <v>23</v>
      </c>
      <c r="G272" t="s">
        <v>19</v>
      </c>
      <c r="H272">
        <v>8</v>
      </c>
      <c r="I272">
        <v>39200</v>
      </c>
      <c r="J272" s="1">
        <v>44926</v>
      </c>
      <c r="K272" s="1">
        <v>45209</v>
      </c>
      <c r="L272">
        <v>1072</v>
      </c>
      <c r="M272">
        <v>235</v>
      </c>
      <c r="N272" t="s">
        <v>20</v>
      </c>
      <c r="O272">
        <v>283</v>
      </c>
    </row>
    <row r="273" spans="1:15" x14ac:dyDescent="0.3">
      <c r="A273">
        <v>272</v>
      </c>
      <c r="B273" t="s">
        <v>307</v>
      </c>
      <c r="C273">
        <v>60</v>
      </c>
      <c r="D273" t="s">
        <v>22</v>
      </c>
      <c r="E273" t="s">
        <v>25</v>
      </c>
      <c r="F273" t="s">
        <v>26</v>
      </c>
      <c r="G273" t="s">
        <v>19</v>
      </c>
      <c r="H273">
        <v>5</v>
      </c>
      <c r="I273">
        <v>21500</v>
      </c>
      <c r="J273" s="1">
        <v>44814</v>
      </c>
      <c r="K273" s="1">
        <v>45179</v>
      </c>
      <c r="L273">
        <v>70</v>
      </c>
      <c r="M273">
        <v>265</v>
      </c>
      <c r="N273" t="s">
        <v>20</v>
      </c>
      <c r="O273">
        <v>365</v>
      </c>
    </row>
    <row r="274" spans="1:15" x14ac:dyDescent="0.3">
      <c r="A274">
        <v>273</v>
      </c>
      <c r="B274" t="s">
        <v>308</v>
      </c>
      <c r="C274">
        <v>61</v>
      </c>
      <c r="D274" t="s">
        <v>16</v>
      </c>
      <c r="E274" t="s">
        <v>30</v>
      </c>
      <c r="F274" t="s">
        <v>31</v>
      </c>
      <c r="G274" t="s">
        <v>33</v>
      </c>
      <c r="H274">
        <v>3</v>
      </c>
      <c r="I274">
        <v>27300</v>
      </c>
      <c r="J274" s="1">
        <v>44960</v>
      </c>
      <c r="K274" s="1">
        <v>45122</v>
      </c>
      <c r="L274">
        <v>159</v>
      </c>
      <c r="M274">
        <v>322</v>
      </c>
      <c r="N274" t="s">
        <v>20</v>
      </c>
      <c r="O274">
        <v>162</v>
      </c>
    </row>
    <row r="275" spans="1:15" x14ac:dyDescent="0.3">
      <c r="A275">
        <v>274</v>
      </c>
      <c r="B275" t="s">
        <v>309</v>
      </c>
      <c r="C275">
        <v>49</v>
      </c>
      <c r="D275" t="s">
        <v>16</v>
      </c>
      <c r="E275" t="s">
        <v>17</v>
      </c>
      <c r="F275" t="s">
        <v>23</v>
      </c>
      <c r="G275" t="s">
        <v>19</v>
      </c>
      <c r="H275">
        <v>6</v>
      </c>
      <c r="I275">
        <v>6600</v>
      </c>
      <c r="J275" s="1">
        <v>44666</v>
      </c>
      <c r="K275" s="1">
        <v>44733</v>
      </c>
      <c r="L275">
        <v>690</v>
      </c>
      <c r="M275">
        <v>711</v>
      </c>
      <c r="N275" t="s">
        <v>20</v>
      </c>
      <c r="O275">
        <v>67</v>
      </c>
    </row>
    <row r="276" spans="1:15" x14ac:dyDescent="0.3">
      <c r="A276">
        <v>275</v>
      </c>
      <c r="B276" t="s">
        <v>310</v>
      </c>
      <c r="C276">
        <v>56</v>
      </c>
      <c r="D276" t="s">
        <v>52</v>
      </c>
      <c r="E276" t="s">
        <v>36</v>
      </c>
      <c r="F276" t="s">
        <v>26</v>
      </c>
      <c r="G276" t="s">
        <v>27</v>
      </c>
      <c r="H276">
        <v>9</v>
      </c>
      <c r="I276">
        <v>165600</v>
      </c>
      <c r="J276" s="1">
        <v>44667</v>
      </c>
      <c r="K276" s="1">
        <v>44680</v>
      </c>
      <c r="L276">
        <v>135</v>
      </c>
      <c r="M276">
        <v>764</v>
      </c>
      <c r="N276" t="s">
        <v>20</v>
      </c>
      <c r="O276">
        <v>13</v>
      </c>
    </row>
    <row r="277" spans="1:15" x14ac:dyDescent="0.3">
      <c r="A277">
        <v>276</v>
      </c>
      <c r="B277" t="s">
        <v>311</v>
      </c>
      <c r="C277">
        <v>21</v>
      </c>
      <c r="D277" t="s">
        <v>29</v>
      </c>
      <c r="E277" t="s">
        <v>17</v>
      </c>
      <c r="F277" t="s">
        <v>18</v>
      </c>
      <c r="G277" t="s">
        <v>33</v>
      </c>
      <c r="H277">
        <v>5</v>
      </c>
      <c r="I277">
        <v>6500</v>
      </c>
      <c r="J277" s="1">
        <v>44959</v>
      </c>
      <c r="K277" s="1">
        <v>45357</v>
      </c>
      <c r="L277">
        <v>2975</v>
      </c>
      <c r="M277">
        <v>87</v>
      </c>
      <c r="N277" t="s">
        <v>47</v>
      </c>
      <c r="O277">
        <v>398</v>
      </c>
    </row>
    <row r="278" spans="1:15" x14ac:dyDescent="0.3">
      <c r="A278">
        <v>277</v>
      </c>
      <c r="B278" t="s">
        <v>312</v>
      </c>
      <c r="C278">
        <v>29</v>
      </c>
      <c r="D278" t="s">
        <v>40</v>
      </c>
      <c r="E278" t="s">
        <v>25</v>
      </c>
      <c r="F278" t="s">
        <v>26</v>
      </c>
      <c r="G278" t="s">
        <v>19</v>
      </c>
      <c r="H278">
        <v>5</v>
      </c>
      <c r="I278">
        <v>11000</v>
      </c>
      <c r="J278" s="1">
        <v>44836</v>
      </c>
      <c r="K278" s="1">
        <v>45088</v>
      </c>
      <c r="L278">
        <v>95</v>
      </c>
      <c r="M278">
        <v>356</v>
      </c>
      <c r="N278" t="s">
        <v>20</v>
      </c>
      <c r="O278">
        <v>252</v>
      </c>
    </row>
    <row r="279" spans="1:15" x14ac:dyDescent="0.3">
      <c r="A279">
        <v>278</v>
      </c>
      <c r="B279" t="s">
        <v>313</v>
      </c>
      <c r="C279">
        <v>47</v>
      </c>
      <c r="D279" t="s">
        <v>16</v>
      </c>
      <c r="E279" t="s">
        <v>25</v>
      </c>
      <c r="F279" t="s">
        <v>26</v>
      </c>
      <c r="G279" t="s">
        <v>19</v>
      </c>
      <c r="H279">
        <v>5</v>
      </c>
      <c r="I279">
        <v>15000</v>
      </c>
      <c r="J279" s="1">
        <v>44640</v>
      </c>
      <c r="K279" s="1">
        <v>44824</v>
      </c>
      <c r="L279">
        <v>130</v>
      </c>
      <c r="M279">
        <v>620</v>
      </c>
      <c r="N279" t="s">
        <v>20</v>
      </c>
      <c r="O279">
        <v>184</v>
      </c>
    </row>
    <row r="280" spans="1:15" x14ac:dyDescent="0.3">
      <c r="A280">
        <v>279</v>
      </c>
      <c r="B280" t="s">
        <v>314</v>
      </c>
      <c r="C280">
        <v>27</v>
      </c>
      <c r="D280" t="s">
        <v>40</v>
      </c>
      <c r="E280" t="s">
        <v>36</v>
      </c>
      <c r="F280" t="s">
        <v>31</v>
      </c>
      <c r="G280" t="s">
        <v>33</v>
      </c>
      <c r="H280">
        <v>3</v>
      </c>
      <c r="I280">
        <v>45000</v>
      </c>
      <c r="J280" s="1">
        <v>44568</v>
      </c>
      <c r="K280" s="1">
        <v>45053</v>
      </c>
      <c r="L280">
        <v>165</v>
      </c>
      <c r="M280">
        <v>391</v>
      </c>
      <c r="N280" t="s">
        <v>20</v>
      </c>
      <c r="O280">
        <v>485</v>
      </c>
    </row>
    <row r="281" spans="1:15" x14ac:dyDescent="0.3">
      <c r="A281">
        <v>280</v>
      </c>
      <c r="B281" t="s">
        <v>315</v>
      </c>
      <c r="C281">
        <v>42</v>
      </c>
      <c r="D281" t="s">
        <v>29</v>
      </c>
      <c r="E281" t="s">
        <v>36</v>
      </c>
      <c r="F281" t="s">
        <v>18</v>
      </c>
      <c r="G281" t="s">
        <v>33</v>
      </c>
      <c r="H281">
        <v>7</v>
      </c>
      <c r="I281">
        <v>171500</v>
      </c>
      <c r="J281" s="1">
        <v>44701</v>
      </c>
      <c r="K281" s="1">
        <v>44854</v>
      </c>
      <c r="L281">
        <v>4270</v>
      </c>
      <c r="M281">
        <v>590</v>
      </c>
      <c r="N281" t="s">
        <v>20</v>
      </c>
      <c r="O281">
        <v>153</v>
      </c>
    </row>
    <row r="282" spans="1:15" x14ac:dyDescent="0.3">
      <c r="A282">
        <v>281</v>
      </c>
      <c r="B282" t="s">
        <v>316</v>
      </c>
      <c r="C282">
        <v>46</v>
      </c>
      <c r="D282" t="s">
        <v>40</v>
      </c>
      <c r="E282" t="s">
        <v>36</v>
      </c>
      <c r="F282" t="s">
        <v>18</v>
      </c>
      <c r="G282" t="s">
        <v>19</v>
      </c>
      <c r="H282">
        <v>6</v>
      </c>
      <c r="I282">
        <v>87600</v>
      </c>
      <c r="J282" s="1">
        <v>45064</v>
      </c>
      <c r="K282" s="1">
        <v>45559</v>
      </c>
      <c r="L282">
        <v>3756</v>
      </c>
      <c r="M282">
        <v>-115</v>
      </c>
      <c r="N282" t="s">
        <v>47</v>
      </c>
      <c r="O282">
        <v>495</v>
      </c>
    </row>
    <row r="283" spans="1:15" x14ac:dyDescent="0.3">
      <c r="A283">
        <v>282</v>
      </c>
      <c r="B283" t="s">
        <v>317</v>
      </c>
      <c r="C283">
        <v>46</v>
      </c>
      <c r="D283" t="s">
        <v>40</v>
      </c>
      <c r="E283" t="s">
        <v>30</v>
      </c>
      <c r="F283" t="s">
        <v>26</v>
      </c>
      <c r="G283" t="s">
        <v>19</v>
      </c>
      <c r="H283">
        <v>6</v>
      </c>
      <c r="I283">
        <v>23400</v>
      </c>
      <c r="J283" s="1">
        <v>45139</v>
      </c>
      <c r="K283" s="1">
        <v>45241</v>
      </c>
      <c r="L283">
        <v>282</v>
      </c>
      <c r="M283">
        <v>203</v>
      </c>
      <c r="N283" t="s">
        <v>20</v>
      </c>
      <c r="O283">
        <v>102</v>
      </c>
    </row>
    <row r="284" spans="1:15" x14ac:dyDescent="0.3">
      <c r="A284">
        <v>283</v>
      </c>
      <c r="B284" t="s">
        <v>318</v>
      </c>
      <c r="C284">
        <v>49</v>
      </c>
      <c r="D284" t="s">
        <v>52</v>
      </c>
      <c r="E284" t="s">
        <v>17</v>
      </c>
      <c r="F284" t="s">
        <v>26</v>
      </c>
      <c r="G284" t="s">
        <v>19</v>
      </c>
      <c r="H284">
        <v>5</v>
      </c>
      <c r="I284">
        <v>9500</v>
      </c>
      <c r="J284" s="1">
        <v>44632</v>
      </c>
      <c r="K284" s="1">
        <v>45051</v>
      </c>
      <c r="L284">
        <v>180</v>
      </c>
      <c r="M284">
        <v>393</v>
      </c>
      <c r="N284" t="s">
        <v>20</v>
      </c>
      <c r="O284">
        <v>419</v>
      </c>
    </row>
    <row r="285" spans="1:15" x14ac:dyDescent="0.3">
      <c r="A285">
        <v>284</v>
      </c>
      <c r="B285" t="s">
        <v>319</v>
      </c>
      <c r="C285">
        <v>37</v>
      </c>
      <c r="D285" t="s">
        <v>46</v>
      </c>
      <c r="E285" t="s">
        <v>25</v>
      </c>
      <c r="F285" t="s">
        <v>18</v>
      </c>
      <c r="G285" t="s">
        <v>19</v>
      </c>
      <c r="H285">
        <v>3</v>
      </c>
      <c r="I285">
        <v>11700</v>
      </c>
      <c r="J285" s="1">
        <v>44995</v>
      </c>
      <c r="K285" s="1">
        <v>45399</v>
      </c>
      <c r="L285">
        <v>1842</v>
      </c>
      <c r="M285">
        <v>45</v>
      </c>
      <c r="N285" t="s">
        <v>47</v>
      </c>
      <c r="O285">
        <v>404</v>
      </c>
    </row>
    <row r="286" spans="1:15" x14ac:dyDescent="0.3">
      <c r="A286">
        <v>285</v>
      </c>
      <c r="B286" t="s">
        <v>320</v>
      </c>
      <c r="C286">
        <v>46</v>
      </c>
      <c r="D286" t="s">
        <v>16</v>
      </c>
      <c r="E286" t="s">
        <v>36</v>
      </c>
      <c r="F286" t="s">
        <v>26</v>
      </c>
      <c r="G286" t="s">
        <v>27</v>
      </c>
      <c r="H286">
        <v>9</v>
      </c>
      <c r="I286">
        <v>194400</v>
      </c>
      <c r="J286" s="1">
        <v>44990</v>
      </c>
      <c r="K286" s="1">
        <v>45268</v>
      </c>
      <c r="L286">
        <v>108</v>
      </c>
      <c r="M286">
        <v>176</v>
      </c>
      <c r="N286" t="s">
        <v>47</v>
      </c>
      <c r="O286">
        <v>278</v>
      </c>
    </row>
    <row r="287" spans="1:15" x14ac:dyDescent="0.3">
      <c r="A287">
        <v>286</v>
      </c>
      <c r="B287" t="s">
        <v>321</v>
      </c>
      <c r="C287">
        <v>63</v>
      </c>
      <c r="D287" t="s">
        <v>29</v>
      </c>
      <c r="E287" t="s">
        <v>17</v>
      </c>
      <c r="F287" t="s">
        <v>23</v>
      </c>
      <c r="G287" t="s">
        <v>19</v>
      </c>
      <c r="H287">
        <v>6</v>
      </c>
      <c r="I287">
        <v>4800</v>
      </c>
      <c r="J287" s="1">
        <v>44607</v>
      </c>
      <c r="K287" s="1">
        <v>44895</v>
      </c>
      <c r="L287">
        <v>810</v>
      </c>
      <c r="M287">
        <v>549</v>
      </c>
      <c r="N287" t="s">
        <v>20</v>
      </c>
      <c r="O287">
        <v>288</v>
      </c>
    </row>
    <row r="288" spans="1:15" x14ac:dyDescent="0.3">
      <c r="A288">
        <v>287</v>
      </c>
      <c r="B288" t="s">
        <v>322</v>
      </c>
      <c r="C288">
        <v>27</v>
      </c>
      <c r="D288" t="s">
        <v>29</v>
      </c>
      <c r="E288" t="s">
        <v>36</v>
      </c>
      <c r="F288" t="s">
        <v>23</v>
      </c>
      <c r="G288" t="s">
        <v>19</v>
      </c>
      <c r="H288">
        <v>5</v>
      </c>
      <c r="I288">
        <v>61500</v>
      </c>
      <c r="J288" s="1">
        <v>45084</v>
      </c>
      <c r="K288" s="1">
        <v>45466</v>
      </c>
      <c r="L288">
        <v>715</v>
      </c>
      <c r="M288">
        <v>-22</v>
      </c>
      <c r="N288" t="s">
        <v>47</v>
      </c>
      <c r="O288">
        <v>382</v>
      </c>
    </row>
    <row r="289" spans="1:15" x14ac:dyDescent="0.3">
      <c r="A289">
        <v>288</v>
      </c>
      <c r="B289" t="s">
        <v>323</v>
      </c>
      <c r="C289">
        <v>50</v>
      </c>
      <c r="D289" t="s">
        <v>40</v>
      </c>
      <c r="E289" t="s">
        <v>36</v>
      </c>
      <c r="F289" t="s">
        <v>18</v>
      </c>
      <c r="G289" t="s">
        <v>33</v>
      </c>
      <c r="H289">
        <v>10</v>
      </c>
      <c r="I289">
        <v>214000</v>
      </c>
      <c r="J289" s="1">
        <v>44716</v>
      </c>
      <c r="K289" s="1">
        <v>44892</v>
      </c>
      <c r="L289">
        <v>5910</v>
      </c>
      <c r="M289">
        <v>552</v>
      </c>
      <c r="N289" t="s">
        <v>20</v>
      </c>
      <c r="O289">
        <v>176</v>
      </c>
    </row>
    <row r="290" spans="1:15" x14ac:dyDescent="0.3">
      <c r="A290">
        <v>289</v>
      </c>
      <c r="B290" t="s">
        <v>324</v>
      </c>
      <c r="C290">
        <v>26</v>
      </c>
      <c r="D290" t="s">
        <v>46</v>
      </c>
      <c r="E290" t="s">
        <v>17</v>
      </c>
      <c r="F290" t="s">
        <v>18</v>
      </c>
      <c r="G290" t="s">
        <v>33</v>
      </c>
      <c r="H290">
        <v>2</v>
      </c>
      <c r="I290">
        <v>4000</v>
      </c>
      <c r="J290" s="1">
        <v>44707</v>
      </c>
      <c r="K290" s="1">
        <v>44885</v>
      </c>
      <c r="L290">
        <v>1218</v>
      </c>
      <c r="M290">
        <v>559</v>
      </c>
      <c r="N290" t="s">
        <v>20</v>
      </c>
      <c r="O290">
        <v>178</v>
      </c>
    </row>
    <row r="291" spans="1:15" x14ac:dyDescent="0.3">
      <c r="A291">
        <v>290</v>
      </c>
      <c r="B291" t="s">
        <v>325</v>
      </c>
      <c r="C291">
        <v>51</v>
      </c>
      <c r="D291" t="s">
        <v>29</v>
      </c>
      <c r="E291" t="s">
        <v>36</v>
      </c>
      <c r="F291" t="s">
        <v>31</v>
      </c>
      <c r="G291" t="s">
        <v>27</v>
      </c>
      <c r="H291">
        <v>6</v>
      </c>
      <c r="I291">
        <v>123600</v>
      </c>
      <c r="J291" s="1">
        <v>44661</v>
      </c>
      <c r="K291" s="1">
        <v>44885</v>
      </c>
      <c r="L291">
        <v>348</v>
      </c>
      <c r="M291">
        <v>559</v>
      </c>
      <c r="N291" t="s">
        <v>20</v>
      </c>
      <c r="O291">
        <v>224</v>
      </c>
    </row>
    <row r="292" spans="1:15" x14ac:dyDescent="0.3">
      <c r="A292">
        <v>291</v>
      </c>
      <c r="B292" t="s">
        <v>326</v>
      </c>
      <c r="C292">
        <v>28</v>
      </c>
      <c r="D292" t="s">
        <v>29</v>
      </c>
      <c r="E292" t="s">
        <v>17</v>
      </c>
      <c r="F292" t="s">
        <v>18</v>
      </c>
      <c r="G292" t="s">
        <v>19</v>
      </c>
      <c r="H292">
        <v>1</v>
      </c>
      <c r="I292">
        <v>1200</v>
      </c>
      <c r="J292" s="1">
        <v>44673</v>
      </c>
      <c r="K292" s="1">
        <v>45019</v>
      </c>
      <c r="L292">
        <v>600</v>
      </c>
      <c r="M292">
        <v>425</v>
      </c>
      <c r="N292" t="s">
        <v>20</v>
      </c>
      <c r="O292">
        <v>346</v>
      </c>
    </row>
    <row r="293" spans="1:15" x14ac:dyDescent="0.3">
      <c r="A293">
        <v>292</v>
      </c>
      <c r="B293" t="s">
        <v>327</v>
      </c>
      <c r="C293">
        <v>56</v>
      </c>
      <c r="D293" t="s">
        <v>40</v>
      </c>
      <c r="E293" t="s">
        <v>25</v>
      </c>
      <c r="F293" t="s">
        <v>31</v>
      </c>
      <c r="G293" t="s">
        <v>19</v>
      </c>
      <c r="H293">
        <v>7</v>
      </c>
      <c r="I293">
        <v>34300</v>
      </c>
      <c r="J293" s="1">
        <v>45035</v>
      </c>
      <c r="K293" s="1">
        <v>45153</v>
      </c>
      <c r="L293">
        <v>385</v>
      </c>
      <c r="M293">
        <v>291</v>
      </c>
      <c r="N293" t="s">
        <v>20</v>
      </c>
      <c r="O293">
        <v>118</v>
      </c>
    </row>
    <row r="294" spans="1:15" x14ac:dyDescent="0.3">
      <c r="A294">
        <v>293</v>
      </c>
      <c r="B294" t="s">
        <v>328</v>
      </c>
      <c r="C294">
        <v>22</v>
      </c>
      <c r="D294" t="s">
        <v>52</v>
      </c>
      <c r="E294" t="s">
        <v>25</v>
      </c>
      <c r="F294" t="s">
        <v>26</v>
      </c>
      <c r="G294" t="s">
        <v>33</v>
      </c>
      <c r="H294">
        <v>10</v>
      </c>
      <c r="I294">
        <v>46000</v>
      </c>
      <c r="J294" s="1">
        <v>44764</v>
      </c>
      <c r="K294" s="1">
        <v>44994</v>
      </c>
      <c r="L294">
        <v>470</v>
      </c>
      <c r="M294">
        <v>450</v>
      </c>
      <c r="N294" t="s">
        <v>20</v>
      </c>
      <c r="O294">
        <v>230</v>
      </c>
    </row>
    <row r="295" spans="1:15" x14ac:dyDescent="0.3">
      <c r="A295">
        <v>294</v>
      </c>
      <c r="B295" t="s">
        <v>329</v>
      </c>
      <c r="C295">
        <v>34</v>
      </c>
      <c r="D295" t="s">
        <v>22</v>
      </c>
      <c r="E295" t="s">
        <v>36</v>
      </c>
      <c r="F295" t="s">
        <v>23</v>
      </c>
      <c r="G295" t="s">
        <v>19</v>
      </c>
      <c r="H295">
        <v>5</v>
      </c>
      <c r="I295">
        <v>35000</v>
      </c>
      <c r="J295" s="1">
        <v>45153</v>
      </c>
      <c r="K295" s="1">
        <v>45205</v>
      </c>
      <c r="L295">
        <v>720</v>
      </c>
      <c r="M295">
        <v>239</v>
      </c>
      <c r="N295" t="s">
        <v>20</v>
      </c>
      <c r="O295">
        <v>52</v>
      </c>
    </row>
    <row r="296" spans="1:15" x14ac:dyDescent="0.3">
      <c r="A296">
        <v>295</v>
      </c>
      <c r="B296" t="s">
        <v>330</v>
      </c>
      <c r="C296">
        <v>50</v>
      </c>
      <c r="D296" t="s">
        <v>52</v>
      </c>
      <c r="E296" t="s">
        <v>30</v>
      </c>
      <c r="F296" t="s">
        <v>18</v>
      </c>
      <c r="G296" t="s">
        <v>19</v>
      </c>
      <c r="H296">
        <v>2</v>
      </c>
      <c r="I296">
        <v>10200</v>
      </c>
      <c r="J296" s="1">
        <v>45063</v>
      </c>
      <c r="K296" s="1">
        <v>45333</v>
      </c>
      <c r="L296">
        <v>1260</v>
      </c>
      <c r="M296">
        <v>111</v>
      </c>
      <c r="N296" t="s">
        <v>47</v>
      </c>
      <c r="O296">
        <v>270</v>
      </c>
    </row>
    <row r="297" spans="1:15" x14ac:dyDescent="0.3">
      <c r="A297">
        <v>296</v>
      </c>
      <c r="B297" t="s">
        <v>331</v>
      </c>
      <c r="C297">
        <v>28</v>
      </c>
      <c r="D297" t="s">
        <v>29</v>
      </c>
      <c r="E297" t="s">
        <v>36</v>
      </c>
      <c r="F297" t="s">
        <v>26</v>
      </c>
      <c r="G297" t="s">
        <v>27</v>
      </c>
      <c r="H297">
        <v>6</v>
      </c>
      <c r="I297">
        <v>99000</v>
      </c>
      <c r="J297" s="1">
        <v>45030</v>
      </c>
      <c r="K297" s="1">
        <v>45346</v>
      </c>
      <c r="L297">
        <v>126</v>
      </c>
      <c r="M297">
        <v>98</v>
      </c>
      <c r="N297" t="s">
        <v>47</v>
      </c>
      <c r="O297">
        <v>316</v>
      </c>
    </row>
    <row r="298" spans="1:15" x14ac:dyDescent="0.3">
      <c r="A298">
        <v>297</v>
      </c>
      <c r="B298" t="s">
        <v>332</v>
      </c>
      <c r="C298">
        <v>28</v>
      </c>
      <c r="D298" t="s">
        <v>38</v>
      </c>
      <c r="E298" t="s">
        <v>17</v>
      </c>
      <c r="F298" t="s">
        <v>31</v>
      </c>
      <c r="G298" t="s">
        <v>19</v>
      </c>
      <c r="H298">
        <v>4</v>
      </c>
      <c r="I298">
        <v>4400</v>
      </c>
      <c r="J298" s="1">
        <v>44681</v>
      </c>
      <c r="K298" s="1">
        <v>44774</v>
      </c>
      <c r="L298">
        <v>212</v>
      </c>
      <c r="M298">
        <v>670</v>
      </c>
      <c r="N298" t="s">
        <v>20</v>
      </c>
      <c r="O298">
        <v>93</v>
      </c>
    </row>
    <row r="299" spans="1:15" x14ac:dyDescent="0.3">
      <c r="A299">
        <v>298</v>
      </c>
      <c r="B299" t="s">
        <v>333</v>
      </c>
      <c r="C299">
        <v>29</v>
      </c>
      <c r="D299" t="s">
        <v>52</v>
      </c>
      <c r="E299" t="s">
        <v>36</v>
      </c>
      <c r="F299" t="s">
        <v>26</v>
      </c>
      <c r="G299" t="s">
        <v>27</v>
      </c>
      <c r="H299">
        <v>10</v>
      </c>
      <c r="I299">
        <v>176000</v>
      </c>
      <c r="J299" s="1">
        <v>44995</v>
      </c>
      <c r="K299" s="1">
        <v>45090</v>
      </c>
      <c r="L299">
        <v>410</v>
      </c>
      <c r="M299">
        <v>354</v>
      </c>
      <c r="N299" t="s">
        <v>20</v>
      </c>
      <c r="O299">
        <v>95</v>
      </c>
    </row>
    <row r="300" spans="1:15" x14ac:dyDescent="0.3">
      <c r="A300">
        <v>299</v>
      </c>
      <c r="B300" t="s">
        <v>334</v>
      </c>
      <c r="C300">
        <v>29</v>
      </c>
      <c r="D300" t="s">
        <v>52</v>
      </c>
      <c r="E300" t="s">
        <v>25</v>
      </c>
      <c r="F300" t="s">
        <v>26</v>
      </c>
      <c r="G300" t="s">
        <v>19</v>
      </c>
      <c r="H300">
        <v>3</v>
      </c>
      <c r="I300">
        <v>6900</v>
      </c>
      <c r="J300" s="1">
        <v>45023</v>
      </c>
      <c r="K300" s="1">
        <v>45340</v>
      </c>
      <c r="L300">
        <v>39</v>
      </c>
      <c r="M300">
        <v>104</v>
      </c>
      <c r="N300" t="s">
        <v>47</v>
      </c>
      <c r="O300">
        <v>317</v>
      </c>
    </row>
    <row r="301" spans="1:15" x14ac:dyDescent="0.3">
      <c r="A301">
        <v>300</v>
      </c>
      <c r="B301" t="s">
        <v>335</v>
      </c>
      <c r="C301">
        <v>33</v>
      </c>
      <c r="D301" t="s">
        <v>29</v>
      </c>
      <c r="E301" t="s">
        <v>17</v>
      </c>
      <c r="F301" t="s">
        <v>26</v>
      </c>
      <c r="G301" t="s">
        <v>19</v>
      </c>
      <c r="H301">
        <v>7</v>
      </c>
      <c r="I301">
        <v>11200</v>
      </c>
      <c r="J301" s="1">
        <v>45079</v>
      </c>
      <c r="K301" s="1">
        <v>45413</v>
      </c>
      <c r="L301">
        <v>287</v>
      </c>
      <c r="M301">
        <v>31</v>
      </c>
      <c r="N301" t="s">
        <v>47</v>
      </c>
      <c r="O301">
        <v>334</v>
      </c>
    </row>
    <row r="302" spans="1:15" x14ac:dyDescent="0.3">
      <c r="A302">
        <v>301</v>
      </c>
      <c r="B302" t="s">
        <v>336</v>
      </c>
      <c r="C302">
        <v>52</v>
      </c>
      <c r="D302" t="s">
        <v>22</v>
      </c>
      <c r="E302" t="s">
        <v>36</v>
      </c>
      <c r="F302" t="s">
        <v>26</v>
      </c>
      <c r="G302" t="s">
        <v>33</v>
      </c>
      <c r="H302">
        <v>3</v>
      </c>
      <c r="I302">
        <v>23100</v>
      </c>
      <c r="J302" s="1">
        <v>45140</v>
      </c>
      <c r="K302" s="1">
        <v>45155</v>
      </c>
      <c r="L302">
        <v>72</v>
      </c>
      <c r="M302">
        <v>289</v>
      </c>
      <c r="N302" t="s">
        <v>20</v>
      </c>
      <c r="O302">
        <v>15</v>
      </c>
    </row>
    <row r="303" spans="1:15" x14ac:dyDescent="0.3">
      <c r="A303">
        <v>302</v>
      </c>
      <c r="B303" t="s">
        <v>337</v>
      </c>
      <c r="C303">
        <v>55</v>
      </c>
      <c r="D303" t="s">
        <v>38</v>
      </c>
      <c r="E303" t="s">
        <v>17</v>
      </c>
      <c r="F303" t="s">
        <v>18</v>
      </c>
      <c r="G303" t="s">
        <v>19</v>
      </c>
      <c r="H303">
        <v>5</v>
      </c>
      <c r="I303">
        <v>4000</v>
      </c>
      <c r="J303" s="1">
        <v>45030</v>
      </c>
      <c r="K303" s="1">
        <v>45319</v>
      </c>
      <c r="L303">
        <v>3105</v>
      </c>
      <c r="M303">
        <v>125</v>
      </c>
      <c r="N303" t="s">
        <v>47</v>
      </c>
      <c r="O303">
        <v>289</v>
      </c>
    </row>
    <row r="304" spans="1:15" x14ac:dyDescent="0.3">
      <c r="A304">
        <v>303</v>
      </c>
      <c r="B304" t="s">
        <v>338</v>
      </c>
      <c r="C304">
        <v>44</v>
      </c>
      <c r="D304" t="s">
        <v>16</v>
      </c>
      <c r="E304" t="s">
        <v>17</v>
      </c>
      <c r="F304" t="s">
        <v>18</v>
      </c>
      <c r="G304" t="s">
        <v>27</v>
      </c>
      <c r="H304">
        <v>9</v>
      </c>
      <c r="I304">
        <v>5400</v>
      </c>
      <c r="J304" s="1">
        <v>45013</v>
      </c>
      <c r="K304" s="1">
        <v>45292</v>
      </c>
      <c r="L304">
        <v>5427</v>
      </c>
      <c r="M304">
        <v>152</v>
      </c>
      <c r="N304" t="s">
        <v>47</v>
      </c>
      <c r="O304">
        <v>279</v>
      </c>
    </row>
    <row r="305" spans="1:15" x14ac:dyDescent="0.3">
      <c r="A305">
        <v>304</v>
      </c>
      <c r="B305" t="s">
        <v>339</v>
      </c>
      <c r="C305">
        <v>23</v>
      </c>
      <c r="D305" t="s">
        <v>22</v>
      </c>
      <c r="E305" t="s">
        <v>17</v>
      </c>
      <c r="F305" t="s">
        <v>31</v>
      </c>
      <c r="G305" t="s">
        <v>19</v>
      </c>
      <c r="H305">
        <v>8</v>
      </c>
      <c r="I305">
        <v>8000</v>
      </c>
      <c r="J305" s="1">
        <v>44918</v>
      </c>
      <c r="K305" s="1">
        <v>45359</v>
      </c>
      <c r="L305">
        <v>280</v>
      </c>
      <c r="M305">
        <v>85</v>
      </c>
      <c r="N305" t="s">
        <v>47</v>
      </c>
      <c r="O305">
        <v>441</v>
      </c>
    </row>
    <row r="306" spans="1:15" x14ac:dyDescent="0.3">
      <c r="A306">
        <v>305</v>
      </c>
      <c r="B306" t="s">
        <v>340</v>
      </c>
      <c r="C306">
        <v>58</v>
      </c>
      <c r="D306" t="s">
        <v>46</v>
      </c>
      <c r="E306" t="s">
        <v>17</v>
      </c>
      <c r="F306" t="s">
        <v>31</v>
      </c>
      <c r="G306" t="s">
        <v>19</v>
      </c>
      <c r="H306">
        <v>6</v>
      </c>
      <c r="I306">
        <v>12000</v>
      </c>
      <c r="J306" s="1">
        <v>45000</v>
      </c>
      <c r="K306" s="1">
        <v>45084</v>
      </c>
      <c r="L306">
        <v>414</v>
      </c>
      <c r="M306">
        <v>360</v>
      </c>
      <c r="N306" t="s">
        <v>20</v>
      </c>
      <c r="O306">
        <v>84</v>
      </c>
    </row>
    <row r="307" spans="1:15" x14ac:dyDescent="0.3">
      <c r="A307">
        <v>306</v>
      </c>
      <c r="B307" t="s">
        <v>341</v>
      </c>
      <c r="C307">
        <v>57</v>
      </c>
      <c r="D307" t="s">
        <v>52</v>
      </c>
      <c r="E307" t="s">
        <v>25</v>
      </c>
      <c r="F307" t="s">
        <v>31</v>
      </c>
      <c r="G307" t="s">
        <v>19</v>
      </c>
      <c r="H307">
        <v>6</v>
      </c>
      <c r="I307">
        <v>19200</v>
      </c>
      <c r="J307" s="1">
        <v>44849</v>
      </c>
      <c r="K307" s="1">
        <v>45154</v>
      </c>
      <c r="L307">
        <v>384</v>
      </c>
      <c r="M307">
        <v>290</v>
      </c>
      <c r="N307" t="s">
        <v>20</v>
      </c>
      <c r="O307">
        <v>305</v>
      </c>
    </row>
    <row r="308" spans="1:15" x14ac:dyDescent="0.3">
      <c r="A308">
        <v>307</v>
      </c>
      <c r="B308" t="s">
        <v>342</v>
      </c>
      <c r="C308">
        <v>57</v>
      </c>
      <c r="D308" t="s">
        <v>52</v>
      </c>
      <c r="E308" t="s">
        <v>30</v>
      </c>
      <c r="F308" t="s">
        <v>18</v>
      </c>
      <c r="G308" t="s">
        <v>19</v>
      </c>
      <c r="H308">
        <v>5</v>
      </c>
      <c r="I308">
        <v>36000</v>
      </c>
      <c r="J308" s="1">
        <v>44659</v>
      </c>
      <c r="K308" s="1">
        <v>44728</v>
      </c>
      <c r="L308">
        <v>3080</v>
      </c>
      <c r="M308">
        <v>716</v>
      </c>
      <c r="N308" t="s">
        <v>20</v>
      </c>
      <c r="O308">
        <v>69</v>
      </c>
    </row>
    <row r="309" spans="1:15" x14ac:dyDescent="0.3">
      <c r="A309">
        <v>308</v>
      </c>
      <c r="B309" t="s">
        <v>343</v>
      </c>
      <c r="C309">
        <v>36</v>
      </c>
      <c r="D309" t="s">
        <v>63</v>
      </c>
      <c r="E309" t="s">
        <v>30</v>
      </c>
      <c r="F309" t="s">
        <v>31</v>
      </c>
      <c r="G309" t="s">
        <v>19</v>
      </c>
      <c r="H309">
        <v>3</v>
      </c>
      <c r="I309">
        <v>26400</v>
      </c>
      <c r="J309" s="1">
        <v>44891</v>
      </c>
      <c r="K309" s="1">
        <v>45315</v>
      </c>
      <c r="L309">
        <v>135</v>
      </c>
      <c r="M309">
        <v>129</v>
      </c>
      <c r="N309" t="s">
        <v>47</v>
      </c>
      <c r="O309">
        <v>424</v>
      </c>
    </row>
    <row r="310" spans="1:15" x14ac:dyDescent="0.3">
      <c r="A310">
        <v>309</v>
      </c>
      <c r="B310" t="s">
        <v>344</v>
      </c>
      <c r="C310">
        <v>61</v>
      </c>
      <c r="D310" t="s">
        <v>22</v>
      </c>
      <c r="E310" t="s">
        <v>36</v>
      </c>
      <c r="F310" t="s">
        <v>31</v>
      </c>
      <c r="G310" t="s">
        <v>27</v>
      </c>
      <c r="H310">
        <v>5</v>
      </c>
      <c r="I310">
        <v>93000</v>
      </c>
      <c r="J310" s="1">
        <v>44946</v>
      </c>
      <c r="K310" s="1">
        <v>45177</v>
      </c>
      <c r="L310">
        <v>170</v>
      </c>
      <c r="M310">
        <v>267</v>
      </c>
      <c r="N310" t="s">
        <v>20</v>
      </c>
      <c r="O310">
        <v>231</v>
      </c>
    </row>
    <row r="311" spans="1:15" x14ac:dyDescent="0.3">
      <c r="A311">
        <v>310</v>
      </c>
      <c r="B311" t="s">
        <v>345</v>
      </c>
      <c r="C311">
        <v>50</v>
      </c>
      <c r="D311" t="s">
        <v>16</v>
      </c>
      <c r="E311" t="s">
        <v>36</v>
      </c>
      <c r="F311" t="s">
        <v>18</v>
      </c>
      <c r="G311" t="s">
        <v>19</v>
      </c>
      <c r="H311">
        <v>8</v>
      </c>
      <c r="I311">
        <v>125600</v>
      </c>
      <c r="J311" s="1">
        <v>45157</v>
      </c>
      <c r="K311" s="1">
        <v>45158</v>
      </c>
      <c r="L311">
        <v>4760</v>
      </c>
      <c r="M311">
        <v>286</v>
      </c>
      <c r="N311" t="s">
        <v>20</v>
      </c>
      <c r="O311">
        <v>1</v>
      </c>
    </row>
    <row r="312" spans="1:15" x14ac:dyDescent="0.3">
      <c r="A312">
        <v>311</v>
      </c>
      <c r="B312" t="s">
        <v>346</v>
      </c>
      <c r="C312">
        <v>46</v>
      </c>
      <c r="D312" t="s">
        <v>46</v>
      </c>
      <c r="E312" t="s">
        <v>30</v>
      </c>
      <c r="F312" t="s">
        <v>23</v>
      </c>
      <c r="G312" t="s">
        <v>27</v>
      </c>
      <c r="H312">
        <v>4</v>
      </c>
      <c r="I312">
        <v>26000</v>
      </c>
      <c r="J312" s="1">
        <v>44778</v>
      </c>
      <c r="K312" s="1">
        <v>45031</v>
      </c>
      <c r="L312">
        <v>508</v>
      </c>
      <c r="M312">
        <v>413</v>
      </c>
      <c r="N312" t="s">
        <v>20</v>
      </c>
      <c r="O312">
        <v>253</v>
      </c>
    </row>
    <row r="313" spans="1:15" x14ac:dyDescent="0.3">
      <c r="A313">
        <v>312</v>
      </c>
      <c r="B313" t="s">
        <v>347</v>
      </c>
      <c r="C313">
        <v>57</v>
      </c>
      <c r="D313" t="s">
        <v>29</v>
      </c>
      <c r="E313" t="s">
        <v>30</v>
      </c>
      <c r="F313" t="s">
        <v>18</v>
      </c>
      <c r="G313" t="s">
        <v>27</v>
      </c>
      <c r="H313">
        <v>3</v>
      </c>
      <c r="I313">
        <v>22800</v>
      </c>
      <c r="J313" s="1">
        <v>45058</v>
      </c>
      <c r="K313" s="1">
        <v>45461</v>
      </c>
      <c r="L313">
        <v>1833</v>
      </c>
      <c r="M313">
        <v>-17</v>
      </c>
      <c r="N313" t="s">
        <v>47</v>
      </c>
      <c r="O313">
        <v>403</v>
      </c>
    </row>
    <row r="314" spans="1:15" x14ac:dyDescent="0.3">
      <c r="A314">
        <v>313</v>
      </c>
      <c r="B314" t="s">
        <v>348</v>
      </c>
      <c r="C314">
        <v>22</v>
      </c>
      <c r="D314" t="s">
        <v>63</v>
      </c>
      <c r="E314" t="s">
        <v>17</v>
      </c>
      <c r="F314" t="s">
        <v>23</v>
      </c>
      <c r="G314" t="s">
        <v>33</v>
      </c>
      <c r="H314">
        <v>2</v>
      </c>
      <c r="I314">
        <v>1600</v>
      </c>
      <c r="J314" s="1">
        <v>45013</v>
      </c>
      <c r="K314" s="1">
        <v>45246</v>
      </c>
      <c r="L314">
        <v>220</v>
      </c>
      <c r="M314">
        <v>198</v>
      </c>
      <c r="N314" t="s">
        <v>20</v>
      </c>
      <c r="O314">
        <v>233</v>
      </c>
    </row>
    <row r="315" spans="1:15" x14ac:dyDescent="0.3">
      <c r="A315">
        <v>314</v>
      </c>
      <c r="B315" t="s">
        <v>349</v>
      </c>
      <c r="C315">
        <v>31</v>
      </c>
      <c r="D315" t="s">
        <v>22</v>
      </c>
      <c r="E315" t="s">
        <v>25</v>
      </c>
      <c r="F315" t="s">
        <v>31</v>
      </c>
      <c r="G315" t="s">
        <v>19</v>
      </c>
      <c r="H315">
        <v>5</v>
      </c>
      <c r="I315">
        <v>7000</v>
      </c>
      <c r="J315" s="1">
        <v>44931</v>
      </c>
      <c r="K315" s="1">
        <v>45059</v>
      </c>
      <c r="L315">
        <v>175</v>
      </c>
      <c r="M315">
        <v>385</v>
      </c>
      <c r="N315" t="s">
        <v>20</v>
      </c>
      <c r="O315">
        <v>128</v>
      </c>
    </row>
    <row r="316" spans="1:15" x14ac:dyDescent="0.3">
      <c r="A316">
        <v>315</v>
      </c>
      <c r="B316" t="s">
        <v>350</v>
      </c>
      <c r="C316">
        <v>61</v>
      </c>
      <c r="D316" t="s">
        <v>29</v>
      </c>
      <c r="E316" t="s">
        <v>25</v>
      </c>
      <c r="F316" t="s">
        <v>23</v>
      </c>
      <c r="G316" t="s">
        <v>33</v>
      </c>
      <c r="H316">
        <v>5</v>
      </c>
      <c r="I316">
        <v>20000</v>
      </c>
      <c r="J316" s="1">
        <v>44801</v>
      </c>
      <c r="K316" s="1">
        <v>45020</v>
      </c>
      <c r="L316">
        <v>575</v>
      </c>
      <c r="M316">
        <v>424</v>
      </c>
      <c r="N316" t="s">
        <v>20</v>
      </c>
      <c r="O316">
        <v>219</v>
      </c>
    </row>
    <row r="317" spans="1:15" x14ac:dyDescent="0.3">
      <c r="A317">
        <v>316</v>
      </c>
      <c r="B317" t="s">
        <v>351</v>
      </c>
      <c r="C317">
        <v>25</v>
      </c>
      <c r="D317" t="s">
        <v>16</v>
      </c>
      <c r="E317" t="s">
        <v>17</v>
      </c>
      <c r="F317" t="s">
        <v>31</v>
      </c>
      <c r="G317" t="s">
        <v>33</v>
      </c>
      <c r="H317">
        <v>3</v>
      </c>
      <c r="I317">
        <v>5100</v>
      </c>
      <c r="J317" s="1">
        <v>44793</v>
      </c>
      <c r="K317" s="1">
        <v>45058</v>
      </c>
      <c r="L317">
        <v>174</v>
      </c>
      <c r="M317">
        <v>386</v>
      </c>
      <c r="N317" t="s">
        <v>20</v>
      </c>
      <c r="O317">
        <v>265</v>
      </c>
    </row>
    <row r="318" spans="1:15" x14ac:dyDescent="0.3">
      <c r="A318">
        <v>317</v>
      </c>
      <c r="B318" t="s">
        <v>352</v>
      </c>
      <c r="C318">
        <v>48</v>
      </c>
      <c r="D318" t="s">
        <v>63</v>
      </c>
      <c r="E318" t="s">
        <v>17</v>
      </c>
      <c r="F318" t="s">
        <v>18</v>
      </c>
      <c r="G318" t="s">
        <v>19</v>
      </c>
      <c r="H318">
        <v>3</v>
      </c>
      <c r="I318">
        <v>4500</v>
      </c>
      <c r="J318" s="1">
        <v>44634</v>
      </c>
      <c r="K318" s="1">
        <v>44751</v>
      </c>
      <c r="L318">
        <v>1842</v>
      </c>
      <c r="M318">
        <v>693</v>
      </c>
      <c r="N318" t="s">
        <v>20</v>
      </c>
      <c r="O318">
        <v>117</v>
      </c>
    </row>
    <row r="319" spans="1:15" x14ac:dyDescent="0.3">
      <c r="A319">
        <v>318</v>
      </c>
      <c r="B319" t="s">
        <v>353</v>
      </c>
      <c r="C319">
        <v>44</v>
      </c>
      <c r="D319" t="s">
        <v>16</v>
      </c>
      <c r="E319" t="s">
        <v>17</v>
      </c>
      <c r="F319" t="s">
        <v>23</v>
      </c>
      <c r="G319" t="s">
        <v>19</v>
      </c>
      <c r="H319">
        <v>5</v>
      </c>
      <c r="I319">
        <v>4000</v>
      </c>
      <c r="J319" s="1">
        <v>44953</v>
      </c>
      <c r="K319" s="1">
        <v>45349</v>
      </c>
      <c r="L319">
        <v>590</v>
      </c>
      <c r="M319">
        <v>95</v>
      </c>
      <c r="N319" t="s">
        <v>47</v>
      </c>
      <c r="O319">
        <v>396</v>
      </c>
    </row>
    <row r="320" spans="1:15" x14ac:dyDescent="0.3">
      <c r="A320">
        <v>319</v>
      </c>
      <c r="B320" t="s">
        <v>354</v>
      </c>
      <c r="C320">
        <v>62</v>
      </c>
      <c r="D320" t="s">
        <v>52</v>
      </c>
      <c r="E320" t="s">
        <v>17</v>
      </c>
      <c r="F320" t="s">
        <v>23</v>
      </c>
      <c r="G320" t="s">
        <v>27</v>
      </c>
      <c r="H320">
        <v>3</v>
      </c>
      <c r="I320">
        <v>4200</v>
      </c>
      <c r="J320" s="1">
        <v>44921</v>
      </c>
      <c r="K320" s="1">
        <v>45290</v>
      </c>
      <c r="L320">
        <v>369</v>
      </c>
      <c r="M320">
        <v>154</v>
      </c>
      <c r="N320" t="s">
        <v>47</v>
      </c>
      <c r="O320">
        <v>369</v>
      </c>
    </row>
    <row r="321" spans="1:15" x14ac:dyDescent="0.3">
      <c r="A321">
        <v>320</v>
      </c>
      <c r="B321" t="s">
        <v>355</v>
      </c>
      <c r="C321">
        <v>26</v>
      </c>
      <c r="D321" t="s">
        <v>52</v>
      </c>
      <c r="E321" t="s">
        <v>36</v>
      </c>
      <c r="F321" t="s">
        <v>26</v>
      </c>
      <c r="G321" t="s">
        <v>19</v>
      </c>
      <c r="H321">
        <v>2</v>
      </c>
      <c r="I321">
        <v>19200</v>
      </c>
      <c r="J321" s="1">
        <v>44688</v>
      </c>
      <c r="K321" s="1">
        <v>44989</v>
      </c>
      <c r="L321">
        <v>68</v>
      </c>
      <c r="M321">
        <v>455</v>
      </c>
      <c r="N321" t="s">
        <v>20</v>
      </c>
      <c r="O321">
        <v>301</v>
      </c>
    </row>
    <row r="322" spans="1:15" x14ac:dyDescent="0.3">
      <c r="A322">
        <v>321</v>
      </c>
      <c r="B322" t="s">
        <v>356</v>
      </c>
      <c r="C322">
        <v>36</v>
      </c>
      <c r="D322" t="s">
        <v>29</v>
      </c>
      <c r="E322" t="s">
        <v>36</v>
      </c>
      <c r="F322" t="s">
        <v>18</v>
      </c>
      <c r="G322" t="s">
        <v>19</v>
      </c>
      <c r="H322">
        <v>5</v>
      </c>
      <c r="I322">
        <v>39000</v>
      </c>
      <c r="J322" s="1">
        <v>44816</v>
      </c>
      <c r="K322" s="1">
        <v>45099</v>
      </c>
      <c r="L322">
        <v>3140</v>
      </c>
      <c r="M322">
        <v>345</v>
      </c>
      <c r="N322" t="s">
        <v>20</v>
      </c>
      <c r="O322">
        <v>283</v>
      </c>
    </row>
    <row r="323" spans="1:15" x14ac:dyDescent="0.3">
      <c r="A323">
        <v>322</v>
      </c>
      <c r="B323" t="s">
        <v>357</v>
      </c>
      <c r="C323">
        <v>54</v>
      </c>
      <c r="D323" t="s">
        <v>38</v>
      </c>
      <c r="E323" t="s">
        <v>17</v>
      </c>
      <c r="F323" t="s">
        <v>18</v>
      </c>
      <c r="G323" t="s">
        <v>19</v>
      </c>
      <c r="H323">
        <v>10</v>
      </c>
      <c r="I323">
        <v>15000</v>
      </c>
      <c r="J323" s="1">
        <v>44755</v>
      </c>
      <c r="K323" s="1">
        <v>45137</v>
      </c>
      <c r="L323">
        <v>6150</v>
      </c>
      <c r="M323">
        <v>307</v>
      </c>
      <c r="N323" t="s">
        <v>20</v>
      </c>
      <c r="O323">
        <v>382</v>
      </c>
    </row>
    <row r="324" spans="1:15" x14ac:dyDescent="0.3">
      <c r="A324">
        <v>323</v>
      </c>
      <c r="B324" t="s">
        <v>358</v>
      </c>
      <c r="C324">
        <v>45</v>
      </c>
      <c r="D324" t="s">
        <v>38</v>
      </c>
      <c r="E324" t="s">
        <v>17</v>
      </c>
      <c r="F324" t="s">
        <v>31</v>
      </c>
      <c r="G324" t="s">
        <v>33</v>
      </c>
      <c r="H324">
        <v>2</v>
      </c>
      <c r="I324">
        <v>2000</v>
      </c>
      <c r="J324" s="1">
        <v>45073</v>
      </c>
      <c r="K324" s="1">
        <v>45399</v>
      </c>
      <c r="L324">
        <v>136</v>
      </c>
      <c r="M324">
        <v>45</v>
      </c>
      <c r="N324" t="s">
        <v>47</v>
      </c>
      <c r="O324">
        <v>326</v>
      </c>
    </row>
    <row r="325" spans="1:15" x14ac:dyDescent="0.3">
      <c r="A325">
        <v>324</v>
      </c>
      <c r="B325" t="s">
        <v>359</v>
      </c>
      <c r="C325">
        <v>29</v>
      </c>
      <c r="D325" t="s">
        <v>16</v>
      </c>
      <c r="E325" t="s">
        <v>17</v>
      </c>
      <c r="F325" t="s">
        <v>18</v>
      </c>
      <c r="G325" t="s">
        <v>19</v>
      </c>
      <c r="H325">
        <v>7</v>
      </c>
      <c r="I325">
        <v>11900</v>
      </c>
      <c r="J325" s="1">
        <v>44992</v>
      </c>
      <c r="K325" s="1">
        <v>45179</v>
      </c>
      <c r="L325">
        <v>4368</v>
      </c>
      <c r="M325">
        <v>265</v>
      </c>
      <c r="N325" t="s">
        <v>20</v>
      </c>
      <c r="O325">
        <v>187</v>
      </c>
    </row>
    <row r="326" spans="1:15" x14ac:dyDescent="0.3">
      <c r="A326">
        <v>325</v>
      </c>
      <c r="B326" t="s">
        <v>360</v>
      </c>
      <c r="C326">
        <v>58</v>
      </c>
      <c r="D326" t="s">
        <v>52</v>
      </c>
      <c r="E326" t="s">
        <v>36</v>
      </c>
      <c r="F326" t="s">
        <v>23</v>
      </c>
      <c r="G326" t="s">
        <v>19</v>
      </c>
      <c r="H326">
        <v>2</v>
      </c>
      <c r="I326">
        <v>11000</v>
      </c>
      <c r="J326" s="1">
        <v>44830</v>
      </c>
      <c r="K326" s="1">
        <v>44940</v>
      </c>
      <c r="L326">
        <v>224</v>
      </c>
      <c r="M326">
        <v>504</v>
      </c>
      <c r="N326" t="s">
        <v>20</v>
      </c>
      <c r="O326">
        <v>110</v>
      </c>
    </row>
    <row r="327" spans="1:15" x14ac:dyDescent="0.3">
      <c r="A327">
        <v>326</v>
      </c>
      <c r="B327" t="s">
        <v>361</v>
      </c>
      <c r="C327">
        <v>47</v>
      </c>
      <c r="D327" t="s">
        <v>63</v>
      </c>
      <c r="E327" t="s">
        <v>36</v>
      </c>
      <c r="F327" t="s">
        <v>18</v>
      </c>
      <c r="G327" t="s">
        <v>27</v>
      </c>
      <c r="H327">
        <v>7</v>
      </c>
      <c r="I327">
        <v>127400</v>
      </c>
      <c r="J327" s="1">
        <v>44646</v>
      </c>
      <c r="K327" s="1">
        <v>44973</v>
      </c>
      <c r="L327">
        <v>4368</v>
      </c>
      <c r="M327">
        <v>471</v>
      </c>
      <c r="N327" t="s">
        <v>20</v>
      </c>
      <c r="O327">
        <v>327</v>
      </c>
    </row>
    <row r="328" spans="1:15" x14ac:dyDescent="0.3">
      <c r="A328">
        <v>327</v>
      </c>
      <c r="B328" t="s">
        <v>362</v>
      </c>
      <c r="C328">
        <v>26</v>
      </c>
      <c r="D328" t="s">
        <v>52</v>
      </c>
      <c r="E328" t="s">
        <v>30</v>
      </c>
      <c r="F328" t="s">
        <v>23</v>
      </c>
      <c r="G328" t="s">
        <v>19</v>
      </c>
      <c r="H328">
        <v>9</v>
      </c>
      <c r="I328">
        <v>42300</v>
      </c>
      <c r="J328" s="1">
        <v>44721</v>
      </c>
      <c r="K328" s="1">
        <v>44995</v>
      </c>
      <c r="L328">
        <v>1170</v>
      </c>
      <c r="M328">
        <v>449</v>
      </c>
      <c r="N328" t="s">
        <v>20</v>
      </c>
      <c r="O328">
        <v>274</v>
      </c>
    </row>
    <row r="329" spans="1:15" x14ac:dyDescent="0.3">
      <c r="A329">
        <v>328</v>
      </c>
      <c r="B329" t="s">
        <v>363</v>
      </c>
      <c r="C329">
        <v>36</v>
      </c>
      <c r="D329" t="s">
        <v>22</v>
      </c>
      <c r="E329" t="s">
        <v>17</v>
      </c>
      <c r="F329" t="s">
        <v>18</v>
      </c>
      <c r="G329" t="s">
        <v>33</v>
      </c>
      <c r="H329">
        <v>1</v>
      </c>
      <c r="I329">
        <v>1000</v>
      </c>
      <c r="J329" s="1">
        <v>44650</v>
      </c>
      <c r="K329" s="1">
        <v>45123</v>
      </c>
      <c r="L329">
        <v>617</v>
      </c>
      <c r="M329">
        <v>321</v>
      </c>
      <c r="N329" t="s">
        <v>20</v>
      </c>
      <c r="O329">
        <v>473</v>
      </c>
    </row>
    <row r="330" spans="1:15" x14ac:dyDescent="0.3">
      <c r="A330">
        <v>329</v>
      </c>
      <c r="B330" t="s">
        <v>364</v>
      </c>
      <c r="C330">
        <v>63</v>
      </c>
      <c r="D330" t="s">
        <v>16</v>
      </c>
      <c r="E330" t="s">
        <v>36</v>
      </c>
      <c r="F330" t="s">
        <v>23</v>
      </c>
      <c r="G330" t="s">
        <v>19</v>
      </c>
      <c r="H330">
        <v>3</v>
      </c>
      <c r="I330">
        <v>26700</v>
      </c>
      <c r="J330" s="1">
        <v>44574</v>
      </c>
      <c r="K330" s="1">
        <v>44936</v>
      </c>
      <c r="L330">
        <v>354</v>
      </c>
      <c r="M330">
        <v>508</v>
      </c>
      <c r="N330" t="s">
        <v>20</v>
      </c>
      <c r="O330">
        <v>362</v>
      </c>
    </row>
    <row r="331" spans="1:15" x14ac:dyDescent="0.3">
      <c r="A331">
        <v>330</v>
      </c>
      <c r="B331" t="s">
        <v>365</v>
      </c>
      <c r="C331">
        <v>54</v>
      </c>
      <c r="D331" t="s">
        <v>63</v>
      </c>
      <c r="E331" t="s">
        <v>25</v>
      </c>
      <c r="F331" t="s">
        <v>26</v>
      </c>
      <c r="G331" t="s">
        <v>19</v>
      </c>
      <c r="H331">
        <v>9</v>
      </c>
      <c r="I331">
        <v>37800</v>
      </c>
      <c r="J331" s="1">
        <v>44827</v>
      </c>
      <c r="K331" s="1">
        <v>44912</v>
      </c>
      <c r="L331">
        <v>297</v>
      </c>
      <c r="M331">
        <v>532</v>
      </c>
      <c r="N331" t="s">
        <v>20</v>
      </c>
      <c r="O331">
        <v>85</v>
      </c>
    </row>
    <row r="332" spans="1:15" x14ac:dyDescent="0.3">
      <c r="A332">
        <v>331</v>
      </c>
      <c r="B332" t="s">
        <v>366</v>
      </c>
      <c r="C332">
        <v>42</v>
      </c>
      <c r="D332" t="s">
        <v>52</v>
      </c>
      <c r="E332" t="s">
        <v>30</v>
      </c>
      <c r="F332" t="s">
        <v>23</v>
      </c>
      <c r="G332" t="s">
        <v>19</v>
      </c>
      <c r="H332">
        <v>7</v>
      </c>
      <c r="I332">
        <v>36400</v>
      </c>
      <c r="J332" s="1">
        <v>45098</v>
      </c>
      <c r="K332" s="1">
        <v>45130</v>
      </c>
      <c r="L332">
        <v>882</v>
      </c>
      <c r="M332">
        <v>314</v>
      </c>
      <c r="N332" t="s">
        <v>20</v>
      </c>
      <c r="O332">
        <v>32</v>
      </c>
    </row>
    <row r="333" spans="1:15" x14ac:dyDescent="0.3">
      <c r="A333">
        <v>332</v>
      </c>
      <c r="B333" t="s">
        <v>367</v>
      </c>
      <c r="C333">
        <v>44</v>
      </c>
      <c r="D333" t="s">
        <v>16</v>
      </c>
      <c r="E333" t="s">
        <v>36</v>
      </c>
      <c r="F333" t="s">
        <v>26</v>
      </c>
      <c r="G333" t="s">
        <v>27</v>
      </c>
      <c r="H333">
        <v>1</v>
      </c>
      <c r="I333">
        <v>21400</v>
      </c>
      <c r="J333" s="1">
        <v>45142</v>
      </c>
      <c r="K333" s="1">
        <v>45227</v>
      </c>
      <c r="L333">
        <v>33</v>
      </c>
      <c r="M333">
        <v>217</v>
      </c>
      <c r="N333" t="s">
        <v>20</v>
      </c>
      <c r="O333">
        <v>85</v>
      </c>
    </row>
    <row r="334" spans="1:15" x14ac:dyDescent="0.3">
      <c r="A334">
        <v>333</v>
      </c>
      <c r="B334" t="s">
        <v>368</v>
      </c>
      <c r="C334">
        <v>64</v>
      </c>
      <c r="D334" t="s">
        <v>52</v>
      </c>
      <c r="E334" t="s">
        <v>30</v>
      </c>
      <c r="F334" t="s">
        <v>23</v>
      </c>
      <c r="G334" t="s">
        <v>27</v>
      </c>
      <c r="H334">
        <v>2</v>
      </c>
      <c r="I334">
        <v>9800</v>
      </c>
      <c r="J334" s="1">
        <v>45083</v>
      </c>
      <c r="K334" s="1">
        <v>45084</v>
      </c>
      <c r="L334">
        <v>224</v>
      </c>
      <c r="M334">
        <v>360</v>
      </c>
      <c r="N334" t="s">
        <v>20</v>
      </c>
      <c r="O334">
        <v>1</v>
      </c>
    </row>
    <row r="335" spans="1:15" x14ac:dyDescent="0.3">
      <c r="A335">
        <v>334</v>
      </c>
      <c r="B335" t="s">
        <v>369</v>
      </c>
      <c r="C335">
        <v>44</v>
      </c>
      <c r="D335" t="s">
        <v>63</v>
      </c>
      <c r="E335" t="s">
        <v>25</v>
      </c>
      <c r="F335" t="s">
        <v>23</v>
      </c>
      <c r="G335" t="s">
        <v>33</v>
      </c>
      <c r="H335">
        <v>7</v>
      </c>
      <c r="I335">
        <v>33600</v>
      </c>
      <c r="J335" s="1">
        <v>44715</v>
      </c>
      <c r="K335" s="1">
        <v>44806</v>
      </c>
      <c r="L335">
        <v>784</v>
      </c>
      <c r="M335">
        <v>638</v>
      </c>
      <c r="N335" t="s">
        <v>20</v>
      </c>
      <c r="O335">
        <v>91</v>
      </c>
    </row>
    <row r="336" spans="1:15" x14ac:dyDescent="0.3">
      <c r="A336">
        <v>335</v>
      </c>
      <c r="B336" t="s">
        <v>370</v>
      </c>
      <c r="C336">
        <v>47</v>
      </c>
      <c r="D336" t="s">
        <v>22</v>
      </c>
      <c r="E336" t="s">
        <v>25</v>
      </c>
      <c r="F336" t="s">
        <v>18</v>
      </c>
      <c r="G336" t="s">
        <v>19</v>
      </c>
      <c r="H336">
        <v>6</v>
      </c>
      <c r="I336">
        <v>12600</v>
      </c>
      <c r="J336" s="1">
        <v>44641</v>
      </c>
      <c r="K336" s="1">
        <v>44933</v>
      </c>
      <c r="L336">
        <v>3678</v>
      </c>
      <c r="M336">
        <v>511</v>
      </c>
      <c r="N336" t="s">
        <v>20</v>
      </c>
      <c r="O336">
        <v>292</v>
      </c>
    </row>
    <row r="337" spans="1:15" x14ac:dyDescent="0.3">
      <c r="A337">
        <v>336</v>
      </c>
      <c r="B337" t="s">
        <v>371</v>
      </c>
      <c r="C337">
        <v>54</v>
      </c>
      <c r="D337" t="s">
        <v>16</v>
      </c>
      <c r="E337" t="s">
        <v>17</v>
      </c>
      <c r="F337" t="s">
        <v>31</v>
      </c>
      <c r="G337" t="s">
        <v>19</v>
      </c>
      <c r="H337">
        <v>1</v>
      </c>
      <c r="I337">
        <v>1300</v>
      </c>
      <c r="J337" s="1">
        <v>44632</v>
      </c>
      <c r="K337" s="1">
        <v>45081</v>
      </c>
      <c r="L337">
        <v>59</v>
      </c>
      <c r="M337">
        <v>363</v>
      </c>
      <c r="N337" t="s">
        <v>20</v>
      </c>
      <c r="O337">
        <v>449</v>
      </c>
    </row>
    <row r="338" spans="1:15" x14ac:dyDescent="0.3">
      <c r="A338">
        <v>337</v>
      </c>
      <c r="B338" t="s">
        <v>372</v>
      </c>
      <c r="C338">
        <v>56</v>
      </c>
      <c r="D338" t="s">
        <v>38</v>
      </c>
      <c r="E338" t="s">
        <v>30</v>
      </c>
      <c r="F338" t="s">
        <v>18</v>
      </c>
      <c r="G338" t="s">
        <v>19</v>
      </c>
      <c r="H338">
        <v>8</v>
      </c>
      <c r="I338">
        <v>24800</v>
      </c>
      <c r="J338" s="1">
        <v>44939</v>
      </c>
      <c r="K338" s="1">
        <v>45041</v>
      </c>
      <c r="L338">
        <v>4864</v>
      </c>
      <c r="M338">
        <v>403</v>
      </c>
      <c r="N338" t="s">
        <v>20</v>
      </c>
      <c r="O338">
        <v>102</v>
      </c>
    </row>
    <row r="339" spans="1:15" x14ac:dyDescent="0.3">
      <c r="A339">
        <v>338</v>
      </c>
      <c r="B339" t="s">
        <v>373</v>
      </c>
      <c r="C339">
        <v>58</v>
      </c>
      <c r="D339" t="s">
        <v>38</v>
      </c>
      <c r="E339" t="s">
        <v>25</v>
      </c>
      <c r="F339" t="s">
        <v>26</v>
      </c>
      <c r="G339" t="s">
        <v>19</v>
      </c>
      <c r="H339">
        <v>8</v>
      </c>
      <c r="I339">
        <v>33600</v>
      </c>
      <c r="J339" s="1">
        <v>44762</v>
      </c>
      <c r="K339" s="1">
        <v>45137</v>
      </c>
      <c r="L339">
        <v>352</v>
      </c>
      <c r="M339">
        <v>307</v>
      </c>
      <c r="N339" t="s">
        <v>20</v>
      </c>
      <c r="O339">
        <v>375</v>
      </c>
    </row>
    <row r="340" spans="1:15" x14ac:dyDescent="0.3">
      <c r="A340">
        <v>339</v>
      </c>
      <c r="B340" t="s">
        <v>374</v>
      </c>
      <c r="C340">
        <v>22</v>
      </c>
      <c r="D340" t="s">
        <v>40</v>
      </c>
      <c r="E340" t="s">
        <v>25</v>
      </c>
      <c r="F340" t="s">
        <v>23</v>
      </c>
      <c r="G340" t="s">
        <v>33</v>
      </c>
      <c r="H340">
        <v>4</v>
      </c>
      <c r="I340">
        <v>12800</v>
      </c>
      <c r="J340" s="1">
        <v>44916</v>
      </c>
      <c r="K340" s="1">
        <v>45241</v>
      </c>
      <c r="L340">
        <v>440</v>
      </c>
      <c r="M340">
        <v>203</v>
      </c>
      <c r="N340" t="s">
        <v>20</v>
      </c>
      <c r="O340">
        <v>325</v>
      </c>
    </row>
    <row r="341" spans="1:15" x14ac:dyDescent="0.3">
      <c r="A341">
        <v>340</v>
      </c>
      <c r="B341" t="s">
        <v>375</v>
      </c>
      <c r="C341">
        <v>27</v>
      </c>
      <c r="D341" t="s">
        <v>29</v>
      </c>
      <c r="E341" t="s">
        <v>17</v>
      </c>
      <c r="F341" t="s">
        <v>26</v>
      </c>
      <c r="G341" t="s">
        <v>19</v>
      </c>
      <c r="H341">
        <v>4</v>
      </c>
      <c r="I341">
        <v>6400</v>
      </c>
      <c r="J341" s="1">
        <v>44805</v>
      </c>
      <c r="K341" s="1">
        <v>45019</v>
      </c>
      <c r="L341">
        <v>164</v>
      </c>
      <c r="M341">
        <v>425</v>
      </c>
      <c r="N341" t="s">
        <v>20</v>
      </c>
      <c r="O341">
        <v>214</v>
      </c>
    </row>
    <row r="342" spans="1:15" x14ac:dyDescent="0.3">
      <c r="A342">
        <v>341</v>
      </c>
      <c r="B342" t="s">
        <v>376</v>
      </c>
      <c r="C342">
        <v>23</v>
      </c>
      <c r="D342" t="s">
        <v>63</v>
      </c>
      <c r="E342" t="s">
        <v>25</v>
      </c>
      <c r="F342" t="s">
        <v>18</v>
      </c>
      <c r="G342" t="s">
        <v>19</v>
      </c>
      <c r="H342">
        <v>4</v>
      </c>
      <c r="I342">
        <v>18800</v>
      </c>
      <c r="J342" s="1">
        <v>45094</v>
      </c>
      <c r="K342" s="1">
        <v>45305</v>
      </c>
      <c r="L342">
        <v>2452</v>
      </c>
      <c r="M342">
        <v>139</v>
      </c>
      <c r="N342" t="s">
        <v>47</v>
      </c>
      <c r="O342">
        <v>211</v>
      </c>
    </row>
    <row r="343" spans="1:15" x14ac:dyDescent="0.3">
      <c r="A343">
        <v>342</v>
      </c>
      <c r="B343" t="s">
        <v>377</v>
      </c>
      <c r="C343">
        <v>29</v>
      </c>
      <c r="D343" t="s">
        <v>46</v>
      </c>
      <c r="E343" t="s">
        <v>17</v>
      </c>
      <c r="F343" t="s">
        <v>23</v>
      </c>
      <c r="G343" t="s">
        <v>27</v>
      </c>
      <c r="H343">
        <v>7</v>
      </c>
      <c r="I343">
        <v>4900</v>
      </c>
      <c r="J343" s="1">
        <v>45143</v>
      </c>
      <c r="K343" s="1">
        <v>45174</v>
      </c>
      <c r="L343">
        <v>959</v>
      </c>
      <c r="M343">
        <v>270</v>
      </c>
      <c r="N343" t="s">
        <v>20</v>
      </c>
      <c r="O343">
        <v>31</v>
      </c>
    </row>
    <row r="344" spans="1:15" x14ac:dyDescent="0.3">
      <c r="A344">
        <v>343</v>
      </c>
      <c r="B344" t="s">
        <v>378</v>
      </c>
      <c r="C344">
        <v>41</v>
      </c>
      <c r="D344" t="s">
        <v>52</v>
      </c>
      <c r="E344" t="s">
        <v>25</v>
      </c>
      <c r="F344" t="s">
        <v>18</v>
      </c>
      <c r="G344" t="s">
        <v>19</v>
      </c>
      <c r="H344">
        <v>7</v>
      </c>
      <c r="I344">
        <v>27300</v>
      </c>
      <c r="J344" s="1">
        <v>44896</v>
      </c>
      <c r="K344" s="1">
        <v>45058</v>
      </c>
      <c r="L344">
        <v>4326</v>
      </c>
      <c r="M344">
        <v>386</v>
      </c>
      <c r="N344" t="s">
        <v>20</v>
      </c>
      <c r="O344">
        <v>162</v>
      </c>
    </row>
    <row r="345" spans="1:15" x14ac:dyDescent="0.3">
      <c r="A345">
        <v>344</v>
      </c>
      <c r="B345" t="s">
        <v>379</v>
      </c>
      <c r="C345">
        <v>29</v>
      </c>
      <c r="D345" t="s">
        <v>38</v>
      </c>
      <c r="E345" t="s">
        <v>25</v>
      </c>
      <c r="F345" t="s">
        <v>23</v>
      </c>
      <c r="G345" t="s">
        <v>19</v>
      </c>
      <c r="H345">
        <v>10</v>
      </c>
      <c r="I345">
        <v>14000</v>
      </c>
      <c r="J345" s="1">
        <v>44721</v>
      </c>
      <c r="K345" s="1">
        <v>44775</v>
      </c>
      <c r="L345">
        <v>1200</v>
      </c>
      <c r="M345">
        <v>669</v>
      </c>
      <c r="N345" t="s">
        <v>20</v>
      </c>
      <c r="O345">
        <v>54</v>
      </c>
    </row>
    <row r="346" spans="1:15" x14ac:dyDescent="0.3">
      <c r="A346">
        <v>345</v>
      </c>
      <c r="B346" t="s">
        <v>380</v>
      </c>
      <c r="C346">
        <v>28</v>
      </c>
      <c r="D346" t="s">
        <v>46</v>
      </c>
      <c r="E346" t="s">
        <v>36</v>
      </c>
      <c r="F346" t="s">
        <v>18</v>
      </c>
      <c r="G346" t="s">
        <v>33</v>
      </c>
      <c r="H346">
        <v>9</v>
      </c>
      <c r="I346">
        <v>150300</v>
      </c>
      <c r="J346" s="1">
        <v>44774</v>
      </c>
      <c r="K346" s="1">
        <v>45005</v>
      </c>
      <c r="L346">
        <v>5481</v>
      </c>
      <c r="M346">
        <v>439</v>
      </c>
      <c r="N346" t="s">
        <v>20</v>
      </c>
      <c r="O346">
        <v>231</v>
      </c>
    </row>
    <row r="347" spans="1:15" x14ac:dyDescent="0.3">
      <c r="A347">
        <v>346</v>
      </c>
      <c r="B347" t="s">
        <v>381</v>
      </c>
      <c r="C347">
        <v>31</v>
      </c>
      <c r="D347" t="s">
        <v>46</v>
      </c>
      <c r="E347" t="s">
        <v>30</v>
      </c>
      <c r="F347" t="s">
        <v>23</v>
      </c>
      <c r="G347" t="s">
        <v>19</v>
      </c>
      <c r="H347">
        <v>5</v>
      </c>
      <c r="I347">
        <v>49000</v>
      </c>
      <c r="J347" s="1">
        <v>44603</v>
      </c>
      <c r="K347" s="1">
        <v>44713</v>
      </c>
      <c r="L347">
        <v>650</v>
      </c>
      <c r="M347">
        <v>731</v>
      </c>
      <c r="N347" t="s">
        <v>20</v>
      </c>
      <c r="O347">
        <v>110</v>
      </c>
    </row>
    <row r="348" spans="1:15" x14ac:dyDescent="0.3">
      <c r="A348">
        <v>347</v>
      </c>
      <c r="B348" t="s">
        <v>382</v>
      </c>
      <c r="C348">
        <v>46</v>
      </c>
      <c r="D348" t="s">
        <v>52</v>
      </c>
      <c r="E348" t="s">
        <v>17</v>
      </c>
      <c r="F348" t="s">
        <v>31</v>
      </c>
      <c r="G348" t="s">
        <v>19</v>
      </c>
      <c r="H348">
        <v>9</v>
      </c>
      <c r="I348">
        <v>5400</v>
      </c>
      <c r="J348" s="1">
        <v>44868</v>
      </c>
      <c r="K348" s="1">
        <v>45001</v>
      </c>
      <c r="L348">
        <v>369</v>
      </c>
      <c r="M348">
        <v>443</v>
      </c>
      <c r="N348" t="s">
        <v>20</v>
      </c>
      <c r="O348">
        <v>133</v>
      </c>
    </row>
    <row r="349" spans="1:15" x14ac:dyDescent="0.3">
      <c r="A349">
        <v>348</v>
      </c>
      <c r="B349" t="s">
        <v>383</v>
      </c>
      <c r="C349">
        <v>56</v>
      </c>
      <c r="D349" t="s">
        <v>63</v>
      </c>
      <c r="E349" t="s">
        <v>36</v>
      </c>
      <c r="F349" t="s">
        <v>26</v>
      </c>
      <c r="G349" t="s">
        <v>27</v>
      </c>
      <c r="H349">
        <v>4</v>
      </c>
      <c r="I349">
        <v>32400</v>
      </c>
      <c r="J349" s="1">
        <v>45035</v>
      </c>
      <c r="K349" s="1">
        <v>45087</v>
      </c>
      <c r="L349">
        <v>72</v>
      </c>
      <c r="M349">
        <v>357</v>
      </c>
      <c r="N349" t="s">
        <v>20</v>
      </c>
      <c r="O349">
        <v>52</v>
      </c>
    </row>
    <row r="350" spans="1:15" x14ac:dyDescent="0.3">
      <c r="A350">
        <v>349</v>
      </c>
      <c r="B350" t="s">
        <v>384</v>
      </c>
      <c r="C350">
        <v>29</v>
      </c>
      <c r="D350" t="s">
        <v>16</v>
      </c>
      <c r="E350" t="s">
        <v>17</v>
      </c>
      <c r="F350" t="s">
        <v>23</v>
      </c>
      <c r="G350" t="s">
        <v>19</v>
      </c>
      <c r="H350">
        <v>4</v>
      </c>
      <c r="I350">
        <v>5200</v>
      </c>
      <c r="J350" s="1">
        <v>44943</v>
      </c>
      <c r="K350" s="1">
        <v>45294</v>
      </c>
      <c r="L350">
        <v>600</v>
      </c>
      <c r="M350">
        <v>150</v>
      </c>
      <c r="N350" t="s">
        <v>47</v>
      </c>
      <c r="O350">
        <v>351</v>
      </c>
    </row>
    <row r="351" spans="1:15" x14ac:dyDescent="0.3">
      <c r="A351">
        <v>350</v>
      </c>
      <c r="B351" t="s">
        <v>385</v>
      </c>
      <c r="C351">
        <v>25</v>
      </c>
      <c r="D351" t="s">
        <v>16</v>
      </c>
      <c r="E351" t="s">
        <v>30</v>
      </c>
      <c r="F351" t="s">
        <v>23</v>
      </c>
      <c r="G351" t="s">
        <v>19</v>
      </c>
      <c r="H351">
        <v>4</v>
      </c>
      <c r="I351">
        <v>33200</v>
      </c>
      <c r="J351" s="1">
        <v>45016</v>
      </c>
      <c r="K351" s="1">
        <v>45430</v>
      </c>
      <c r="L351">
        <v>472</v>
      </c>
      <c r="M351">
        <v>14</v>
      </c>
      <c r="N351" t="s">
        <v>47</v>
      </c>
      <c r="O351">
        <v>414</v>
      </c>
    </row>
    <row r="352" spans="1:15" x14ac:dyDescent="0.3">
      <c r="A352">
        <v>351</v>
      </c>
      <c r="B352" t="s">
        <v>386</v>
      </c>
      <c r="C352">
        <v>50</v>
      </c>
      <c r="D352" t="s">
        <v>16</v>
      </c>
      <c r="E352" t="s">
        <v>30</v>
      </c>
      <c r="F352" t="s">
        <v>23</v>
      </c>
      <c r="G352" t="s">
        <v>19</v>
      </c>
      <c r="H352">
        <v>1</v>
      </c>
      <c r="I352">
        <v>4400</v>
      </c>
      <c r="J352" s="1">
        <v>45149</v>
      </c>
      <c r="K352" s="1">
        <v>45370</v>
      </c>
      <c r="L352">
        <v>135</v>
      </c>
      <c r="M352">
        <v>74</v>
      </c>
      <c r="N352" t="s">
        <v>47</v>
      </c>
      <c r="O352">
        <v>221</v>
      </c>
    </row>
    <row r="353" spans="1:15" x14ac:dyDescent="0.3">
      <c r="A353">
        <v>352</v>
      </c>
      <c r="B353" t="s">
        <v>387</v>
      </c>
      <c r="C353">
        <v>32</v>
      </c>
      <c r="D353" t="s">
        <v>46</v>
      </c>
      <c r="E353" t="s">
        <v>17</v>
      </c>
      <c r="F353" t="s">
        <v>26</v>
      </c>
      <c r="G353" t="s">
        <v>33</v>
      </c>
      <c r="H353">
        <v>6</v>
      </c>
      <c r="I353">
        <v>5400</v>
      </c>
      <c r="J353" s="1">
        <v>44753</v>
      </c>
      <c r="K353" s="1">
        <v>44893</v>
      </c>
      <c r="L353">
        <v>162</v>
      </c>
      <c r="M353">
        <v>551</v>
      </c>
      <c r="N353" t="s">
        <v>20</v>
      </c>
      <c r="O353">
        <v>140</v>
      </c>
    </row>
    <row r="354" spans="1:15" x14ac:dyDescent="0.3">
      <c r="A354">
        <v>353</v>
      </c>
      <c r="B354" t="s">
        <v>388</v>
      </c>
      <c r="C354">
        <v>60</v>
      </c>
      <c r="D354" t="s">
        <v>46</v>
      </c>
      <c r="E354" t="s">
        <v>25</v>
      </c>
      <c r="F354" t="s">
        <v>23</v>
      </c>
      <c r="G354" t="s">
        <v>27</v>
      </c>
      <c r="H354">
        <v>10</v>
      </c>
      <c r="I354">
        <v>20000</v>
      </c>
      <c r="J354" s="1">
        <v>44864</v>
      </c>
      <c r="K354" s="1">
        <v>45119</v>
      </c>
      <c r="L354">
        <v>1360</v>
      </c>
      <c r="M354">
        <v>325</v>
      </c>
      <c r="N354" t="s">
        <v>20</v>
      </c>
      <c r="O354">
        <v>255</v>
      </c>
    </row>
    <row r="355" spans="1:15" x14ac:dyDescent="0.3">
      <c r="A355">
        <v>354</v>
      </c>
      <c r="B355" t="s">
        <v>389</v>
      </c>
      <c r="C355">
        <v>45</v>
      </c>
      <c r="D355" t="s">
        <v>46</v>
      </c>
      <c r="E355" t="s">
        <v>17</v>
      </c>
      <c r="F355" t="s">
        <v>23</v>
      </c>
      <c r="G355" t="s">
        <v>19</v>
      </c>
      <c r="H355">
        <v>3</v>
      </c>
      <c r="I355">
        <v>4200</v>
      </c>
      <c r="J355" s="1">
        <v>44766</v>
      </c>
      <c r="K355" s="1">
        <v>45095</v>
      </c>
      <c r="L355">
        <v>429</v>
      </c>
      <c r="M355">
        <v>349</v>
      </c>
      <c r="N355" t="s">
        <v>20</v>
      </c>
      <c r="O355">
        <v>329</v>
      </c>
    </row>
    <row r="356" spans="1:15" x14ac:dyDescent="0.3">
      <c r="A356">
        <v>355</v>
      </c>
      <c r="B356" t="s">
        <v>390</v>
      </c>
      <c r="C356">
        <v>51</v>
      </c>
      <c r="D356" t="s">
        <v>40</v>
      </c>
      <c r="E356" t="s">
        <v>17</v>
      </c>
      <c r="F356" t="s">
        <v>26</v>
      </c>
      <c r="G356" t="s">
        <v>19</v>
      </c>
      <c r="H356">
        <v>9</v>
      </c>
      <c r="I356">
        <v>13500</v>
      </c>
      <c r="J356" s="1">
        <v>44914</v>
      </c>
      <c r="K356" s="1">
        <v>45381</v>
      </c>
      <c r="L356">
        <v>414</v>
      </c>
      <c r="M356">
        <v>63</v>
      </c>
      <c r="N356" t="s">
        <v>47</v>
      </c>
      <c r="O356">
        <v>467</v>
      </c>
    </row>
    <row r="357" spans="1:15" x14ac:dyDescent="0.3">
      <c r="A357">
        <v>356</v>
      </c>
      <c r="B357" t="s">
        <v>391</v>
      </c>
      <c r="C357">
        <v>22</v>
      </c>
      <c r="D357" t="s">
        <v>29</v>
      </c>
      <c r="E357" t="s">
        <v>36</v>
      </c>
      <c r="F357" t="s">
        <v>18</v>
      </c>
      <c r="G357" t="s">
        <v>19</v>
      </c>
      <c r="H357">
        <v>6</v>
      </c>
      <c r="I357">
        <v>147600</v>
      </c>
      <c r="J357" s="1">
        <v>44786</v>
      </c>
      <c r="K357" s="1">
        <v>44801</v>
      </c>
      <c r="L357">
        <v>3642</v>
      </c>
      <c r="M357">
        <v>643</v>
      </c>
      <c r="N357" t="s">
        <v>20</v>
      </c>
      <c r="O357">
        <v>15</v>
      </c>
    </row>
    <row r="358" spans="1:15" x14ac:dyDescent="0.3">
      <c r="A358">
        <v>357</v>
      </c>
      <c r="B358" t="s">
        <v>392</v>
      </c>
      <c r="C358">
        <v>35</v>
      </c>
      <c r="D358" t="s">
        <v>63</v>
      </c>
      <c r="E358" t="s">
        <v>36</v>
      </c>
      <c r="F358" t="s">
        <v>18</v>
      </c>
      <c r="G358" t="s">
        <v>27</v>
      </c>
      <c r="H358">
        <v>3</v>
      </c>
      <c r="I358">
        <v>24900</v>
      </c>
      <c r="J358" s="1">
        <v>44815</v>
      </c>
      <c r="K358" s="1">
        <v>45151</v>
      </c>
      <c r="L358">
        <v>1815</v>
      </c>
      <c r="M358">
        <v>293</v>
      </c>
      <c r="N358" t="s">
        <v>20</v>
      </c>
      <c r="O358">
        <v>336</v>
      </c>
    </row>
    <row r="359" spans="1:15" x14ac:dyDescent="0.3">
      <c r="A359">
        <v>358</v>
      </c>
      <c r="B359" t="s">
        <v>393</v>
      </c>
      <c r="C359">
        <v>45</v>
      </c>
      <c r="D359" t="s">
        <v>38</v>
      </c>
      <c r="E359" t="s">
        <v>17</v>
      </c>
      <c r="F359" t="s">
        <v>31</v>
      </c>
      <c r="G359" t="s">
        <v>27</v>
      </c>
      <c r="H359">
        <v>6</v>
      </c>
      <c r="I359">
        <v>5400</v>
      </c>
      <c r="J359" s="1">
        <v>44742</v>
      </c>
      <c r="K359" s="1">
        <v>44863</v>
      </c>
      <c r="L359">
        <v>402</v>
      </c>
      <c r="M359">
        <v>581</v>
      </c>
      <c r="N359" t="s">
        <v>20</v>
      </c>
      <c r="O359">
        <v>121</v>
      </c>
    </row>
    <row r="360" spans="1:15" x14ac:dyDescent="0.3">
      <c r="A360">
        <v>359</v>
      </c>
      <c r="B360" t="s">
        <v>394</v>
      </c>
      <c r="C360">
        <v>57</v>
      </c>
      <c r="D360" t="s">
        <v>29</v>
      </c>
      <c r="E360" t="s">
        <v>30</v>
      </c>
      <c r="F360" t="s">
        <v>23</v>
      </c>
      <c r="G360" t="s">
        <v>19</v>
      </c>
      <c r="H360">
        <v>10</v>
      </c>
      <c r="I360">
        <v>42000</v>
      </c>
      <c r="J360" s="1">
        <v>45138</v>
      </c>
      <c r="K360" s="1">
        <v>45623</v>
      </c>
      <c r="L360">
        <v>1220</v>
      </c>
      <c r="M360">
        <v>-179</v>
      </c>
      <c r="N360" t="s">
        <v>47</v>
      </c>
      <c r="O360">
        <v>485</v>
      </c>
    </row>
    <row r="361" spans="1:15" x14ac:dyDescent="0.3">
      <c r="A361">
        <v>360</v>
      </c>
      <c r="B361" t="s">
        <v>395</v>
      </c>
      <c r="C361">
        <v>23</v>
      </c>
      <c r="D361" t="s">
        <v>46</v>
      </c>
      <c r="E361" t="s">
        <v>30</v>
      </c>
      <c r="F361" t="s">
        <v>31</v>
      </c>
      <c r="G361" t="s">
        <v>33</v>
      </c>
      <c r="H361">
        <v>2</v>
      </c>
      <c r="I361">
        <v>7000</v>
      </c>
      <c r="J361" s="1">
        <v>44800</v>
      </c>
      <c r="K361" s="1">
        <v>45108</v>
      </c>
      <c r="L361">
        <v>88</v>
      </c>
      <c r="M361">
        <v>336</v>
      </c>
      <c r="N361" t="s">
        <v>20</v>
      </c>
      <c r="O361">
        <v>308</v>
      </c>
    </row>
    <row r="362" spans="1:15" x14ac:dyDescent="0.3">
      <c r="A362">
        <v>361</v>
      </c>
      <c r="B362" t="s">
        <v>396</v>
      </c>
      <c r="C362">
        <v>60</v>
      </c>
      <c r="D362" t="s">
        <v>63</v>
      </c>
      <c r="E362" t="s">
        <v>36</v>
      </c>
      <c r="F362" t="s">
        <v>23</v>
      </c>
      <c r="G362" t="s">
        <v>19</v>
      </c>
      <c r="H362">
        <v>4</v>
      </c>
      <c r="I362">
        <v>37200</v>
      </c>
      <c r="J362" s="1">
        <v>44910</v>
      </c>
      <c r="K362" s="1">
        <v>45277</v>
      </c>
      <c r="L362">
        <v>484</v>
      </c>
      <c r="M362">
        <v>167</v>
      </c>
      <c r="N362" t="s">
        <v>47</v>
      </c>
      <c r="O362">
        <v>367</v>
      </c>
    </row>
    <row r="363" spans="1:15" x14ac:dyDescent="0.3">
      <c r="A363">
        <v>362</v>
      </c>
      <c r="B363" t="s">
        <v>397</v>
      </c>
      <c r="C363">
        <v>58</v>
      </c>
      <c r="D363" t="s">
        <v>29</v>
      </c>
      <c r="E363" t="s">
        <v>17</v>
      </c>
      <c r="F363" t="s">
        <v>23</v>
      </c>
      <c r="G363" t="s">
        <v>19</v>
      </c>
      <c r="H363">
        <v>3</v>
      </c>
      <c r="I363">
        <v>2100</v>
      </c>
      <c r="J363" s="1">
        <v>45100</v>
      </c>
      <c r="K363" s="1">
        <v>45540</v>
      </c>
      <c r="L363">
        <v>399</v>
      </c>
      <c r="M363">
        <v>-96</v>
      </c>
      <c r="N363" t="s">
        <v>47</v>
      </c>
      <c r="O363">
        <v>440</v>
      </c>
    </row>
    <row r="364" spans="1:15" x14ac:dyDescent="0.3">
      <c r="A364">
        <v>363</v>
      </c>
      <c r="B364" t="s">
        <v>398</v>
      </c>
      <c r="C364">
        <v>27</v>
      </c>
      <c r="D364" t="s">
        <v>16</v>
      </c>
      <c r="E364" t="s">
        <v>30</v>
      </c>
      <c r="F364" t="s">
        <v>26</v>
      </c>
      <c r="G364" t="s">
        <v>27</v>
      </c>
      <c r="H364">
        <v>6</v>
      </c>
      <c r="I364">
        <v>33000</v>
      </c>
      <c r="J364" s="1">
        <v>44892</v>
      </c>
      <c r="K364" s="1">
        <v>44961</v>
      </c>
      <c r="L364">
        <v>120</v>
      </c>
      <c r="M364">
        <v>483</v>
      </c>
      <c r="N364" t="s">
        <v>20</v>
      </c>
      <c r="O364">
        <v>69</v>
      </c>
    </row>
    <row r="365" spans="1:15" x14ac:dyDescent="0.3">
      <c r="A365">
        <v>364</v>
      </c>
      <c r="B365" t="s">
        <v>399</v>
      </c>
      <c r="C365">
        <v>56</v>
      </c>
      <c r="D365" t="s">
        <v>22</v>
      </c>
      <c r="E365" t="s">
        <v>36</v>
      </c>
      <c r="F365" t="s">
        <v>18</v>
      </c>
      <c r="G365" t="s">
        <v>19</v>
      </c>
      <c r="H365">
        <v>10</v>
      </c>
      <c r="I365">
        <v>167000</v>
      </c>
      <c r="J365" s="1">
        <v>44790</v>
      </c>
      <c r="K365" s="1">
        <v>45130</v>
      </c>
      <c r="L365">
        <v>6270</v>
      </c>
      <c r="M365">
        <v>314</v>
      </c>
      <c r="N365" t="s">
        <v>20</v>
      </c>
      <c r="O365">
        <v>340</v>
      </c>
    </row>
    <row r="366" spans="1:15" x14ac:dyDescent="0.3">
      <c r="A366">
        <v>365</v>
      </c>
      <c r="B366" t="s">
        <v>400</v>
      </c>
      <c r="C366">
        <v>29</v>
      </c>
      <c r="D366" t="s">
        <v>52</v>
      </c>
      <c r="E366" t="s">
        <v>36</v>
      </c>
      <c r="F366" t="s">
        <v>18</v>
      </c>
      <c r="G366" t="s">
        <v>19</v>
      </c>
      <c r="H366">
        <v>3</v>
      </c>
      <c r="I366">
        <v>15300</v>
      </c>
      <c r="J366" s="1">
        <v>45148</v>
      </c>
      <c r="K366" s="1">
        <v>45348</v>
      </c>
      <c r="L366">
        <v>1878</v>
      </c>
      <c r="M366">
        <v>96</v>
      </c>
      <c r="N366" t="s">
        <v>47</v>
      </c>
      <c r="O366">
        <v>200</v>
      </c>
    </row>
    <row r="367" spans="1:15" x14ac:dyDescent="0.3">
      <c r="A367">
        <v>366</v>
      </c>
      <c r="B367" t="s">
        <v>401</v>
      </c>
      <c r="C367">
        <v>35</v>
      </c>
      <c r="D367" t="s">
        <v>63</v>
      </c>
      <c r="E367" t="s">
        <v>25</v>
      </c>
      <c r="F367" t="s">
        <v>18</v>
      </c>
      <c r="G367" t="s">
        <v>27</v>
      </c>
      <c r="H367">
        <v>10</v>
      </c>
      <c r="I367">
        <v>14000</v>
      </c>
      <c r="J367" s="1">
        <v>45070</v>
      </c>
      <c r="K367" s="1">
        <v>45142</v>
      </c>
      <c r="L367">
        <v>6110</v>
      </c>
      <c r="M367">
        <v>302</v>
      </c>
      <c r="N367" t="s">
        <v>20</v>
      </c>
      <c r="O367">
        <v>72</v>
      </c>
    </row>
    <row r="368" spans="1:15" x14ac:dyDescent="0.3">
      <c r="A368">
        <v>367</v>
      </c>
      <c r="B368" t="s">
        <v>402</v>
      </c>
      <c r="C368">
        <v>31</v>
      </c>
      <c r="D368" t="s">
        <v>16</v>
      </c>
      <c r="E368" t="s">
        <v>25</v>
      </c>
      <c r="F368" t="s">
        <v>18</v>
      </c>
      <c r="G368" t="s">
        <v>19</v>
      </c>
      <c r="H368">
        <v>2</v>
      </c>
      <c r="I368">
        <v>8800</v>
      </c>
      <c r="J368" s="1">
        <v>44905</v>
      </c>
      <c r="K368" s="1">
        <v>45133</v>
      </c>
      <c r="L368">
        <v>1180</v>
      </c>
      <c r="M368">
        <v>311</v>
      </c>
      <c r="N368" t="s">
        <v>20</v>
      </c>
      <c r="O368">
        <v>228</v>
      </c>
    </row>
    <row r="369" spans="1:15" x14ac:dyDescent="0.3">
      <c r="A369">
        <v>368</v>
      </c>
      <c r="B369" t="s">
        <v>403</v>
      </c>
      <c r="C369">
        <v>43</v>
      </c>
      <c r="D369" t="s">
        <v>38</v>
      </c>
      <c r="E369" t="s">
        <v>25</v>
      </c>
      <c r="F369" t="s">
        <v>31</v>
      </c>
      <c r="G369" t="s">
        <v>19</v>
      </c>
      <c r="H369">
        <v>5</v>
      </c>
      <c r="I369">
        <v>21000</v>
      </c>
      <c r="J369" s="1">
        <v>44672</v>
      </c>
      <c r="K369" s="1">
        <v>45040</v>
      </c>
      <c r="L369">
        <v>150</v>
      </c>
      <c r="M369">
        <v>404</v>
      </c>
      <c r="N369" t="s">
        <v>20</v>
      </c>
      <c r="O369">
        <v>368</v>
      </c>
    </row>
    <row r="370" spans="1:15" x14ac:dyDescent="0.3">
      <c r="A370">
        <v>369</v>
      </c>
      <c r="B370" t="s">
        <v>404</v>
      </c>
      <c r="C370">
        <v>31</v>
      </c>
      <c r="D370" t="s">
        <v>63</v>
      </c>
      <c r="E370" t="s">
        <v>36</v>
      </c>
      <c r="F370" t="s">
        <v>26</v>
      </c>
      <c r="G370" t="s">
        <v>33</v>
      </c>
      <c r="H370">
        <v>7</v>
      </c>
      <c r="I370">
        <v>148400</v>
      </c>
      <c r="J370" s="1">
        <v>44949</v>
      </c>
      <c r="K370" s="1">
        <v>45128</v>
      </c>
      <c r="L370">
        <v>308</v>
      </c>
      <c r="M370">
        <v>316</v>
      </c>
      <c r="N370" t="s">
        <v>20</v>
      </c>
      <c r="O370">
        <v>179</v>
      </c>
    </row>
    <row r="371" spans="1:15" x14ac:dyDescent="0.3">
      <c r="A371">
        <v>370</v>
      </c>
      <c r="B371" t="s">
        <v>405</v>
      </c>
      <c r="C371">
        <v>62</v>
      </c>
      <c r="D371" t="s">
        <v>22</v>
      </c>
      <c r="E371" t="s">
        <v>17</v>
      </c>
      <c r="F371" t="s">
        <v>26</v>
      </c>
      <c r="G371" t="s">
        <v>27</v>
      </c>
      <c r="H371">
        <v>4</v>
      </c>
      <c r="I371">
        <v>3200</v>
      </c>
      <c r="J371" s="1">
        <v>45024</v>
      </c>
      <c r="K371" s="1">
        <v>45061</v>
      </c>
      <c r="L371">
        <v>48</v>
      </c>
      <c r="M371">
        <v>383</v>
      </c>
      <c r="N371" t="s">
        <v>20</v>
      </c>
      <c r="O371">
        <v>37</v>
      </c>
    </row>
    <row r="372" spans="1:15" x14ac:dyDescent="0.3">
      <c r="A372">
        <v>371</v>
      </c>
      <c r="B372" t="s">
        <v>406</v>
      </c>
      <c r="C372">
        <v>27</v>
      </c>
      <c r="D372" t="s">
        <v>38</v>
      </c>
      <c r="E372" t="s">
        <v>17</v>
      </c>
      <c r="F372" t="s">
        <v>18</v>
      </c>
      <c r="G372" t="s">
        <v>19</v>
      </c>
      <c r="H372">
        <v>2</v>
      </c>
      <c r="I372">
        <v>2400</v>
      </c>
      <c r="J372" s="1">
        <v>44736</v>
      </c>
      <c r="K372" s="1">
        <v>45190</v>
      </c>
      <c r="L372">
        <v>1228</v>
      </c>
      <c r="M372">
        <v>254</v>
      </c>
      <c r="N372" t="s">
        <v>20</v>
      </c>
      <c r="O372">
        <v>454</v>
      </c>
    </row>
    <row r="373" spans="1:15" x14ac:dyDescent="0.3">
      <c r="A373">
        <v>372</v>
      </c>
      <c r="B373" t="s">
        <v>407</v>
      </c>
      <c r="C373">
        <v>59</v>
      </c>
      <c r="D373" t="s">
        <v>52</v>
      </c>
      <c r="E373" t="s">
        <v>17</v>
      </c>
      <c r="F373" t="s">
        <v>23</v>
      </c>
      <c r="G373" t="s">
        <v>19</v>
      </c>
      <c r="H373">
        <v>10</v>
      </c>
      <c r="I373">
        <v>15000</v>
      </c>
      <c r="J373" s="1">
        <v>44593</v>
      </c>
      <c r="K373" s="1">
        <v>44813</v>
      </c>
      <c r="L373">
        <v>1200</v>
      </c>
      <c r="M373">
        <v>631</v>
      </c>
      <c r="N373" t="s">
        <v>20</v>
      </c>
      <c r="O373">
        <v>220</v>
      </c>
    </row>
    <row r="374" spans="1:15" x14ac:dyDescent="0.3">
      <c r="A374">
        <v>373</v>
      </c>
      <c r="B374" t="s">
        <v>408</v>
      </c>
      <c r="C374">
        <v>42</v>
      </c>
      <c r="D374" t="s">
        <v>22</v>
      </c>
      <c r="E374" t="s">
        <v>25</v>
      </c>
      <c r="F374" t="s">
        <v>23</v>
      </c>
      <c r="G374" t="s">
        <v>19</v>
      </c>
      <c r="H374">
        <v>4</v>
      </c>
      <c r="I374">
        <v>20000</v>
      </c>
      <c r="J374" s="1">
        <v>44756</v>
      </c>
      <c r="K374" s="1">
        <v>44965</v>
      </c>
      <c r="L374">
        <v>580</v>
      </c>
      <c r="M374">
        <v>479</v>
      </c>
      <c r="N374" t="s">
        <v>20</v>
      </c>
      <c r="O374">
        <v>209</v>
      </c>
    </row>
    <row r="375" spans="1:15" x14ac:dyDescent="0.3">
      <c r="A375">
        <v>374</v>
      </c>
      <c r="B375" t="s">
        <v>409</v>
      </c>
      <c r="C375">
        <v>27</v>
      </c>
      <c r="D375" t="s">
        <v>38</v>
      </c>
      <c r="E375" t="s">
        <v>30</v>
      </c>
      <c r="F375" t="s">
        <v>18</v>
      </c>
      <c r="G375" t="s">
        <v>19</v>
      </c>
      <c r="H375">
        <v>1</v>
      </c>
      <c r="I375">
        <v>6200</v>
      </c>
      <c r="J375" s="1">
        <v>45147</v>
      </c>
      <c r="K375" s="1">
        <v>45428</v>
      </c>
      <c r="L375">
        <v>621</v>
      </c>
      <c r="M375">
        <v>16</v>
      </c>
      <c r="N375" t="s">
        <v>47</v>
      </c>
      <c r="O375">
        <v>281</v>
      </c>
    </row>
    <row r="376" spans="1:15" x14ac:dyDescent="0.3">
      <c r="A376">
        <v>375</v>
      </c>
      <c r="B376" t="s">
        <v>410</v>
      </c>
      <c r="C376">
        <v>48</v>
      </c>
      <c r="D376" t="s">
        <v>52</v>
      </c>
      <c r="E376" t="s">
        <v>17</v>
      </c>
      <c r="F376" t="s">
        <v>18</v>
      </c>
      <c r="G376" t="s">
        <v>19</v>
      </c>
      <c r="H376">
        <v>2</v>
      </c>
      <c r="I376">
        <v>2200</v>
      </c>
      <c r="J376" s="1">
        <v>45053</v>
      </c>
      <c r="K376" s="1">
        <v>45155</v>
      </c>
      <c r="L376">
        <v>1192</v>
      </c>
      <c r="M376">
        <v>289</v>
      </c>
      <c r="N376" t="s">
        <v>20</v>
      </c>
      <c r="O376">
        <v>102</v>
      </c>
    </row>
    <row r="377" spans="1:15" x14ac:dyDescent="0.3">
      <c r="A377">
        <v>376</v>
      </c>
      <c r="B377" t="s">
        <v>411</v>
      </c>
      <c r="C377">
        <v>26</v>
      </c>
      <c r="D377" t="s">
        <v>63</v>
      </c>
      <c r="E377" t="s">
        <v>25</v>
      </c>
      <c r="F377" t="s">
        <v>31</v>
      </c>
      <c r="G377" t="s">
        <v>19</v>
      </c>
      <c r="H377">
        <v>8</v>
      </c>
      <c r="I377">
        <v>36000</v>
      </c>
      <c r="J377" s="1">
        <v>44680</v>
      </c>
      <c r="K377" s="1">
        <v>44837</v>
      </c>
      <c r="L377">
        <v>440</v>
      </c>
      <c r="M377">
        <v>607</v>
      </c>
      <c r="N377" t="s">
        <v>20</v>
      </c>
      <c r="O377">
        <v>157</v>
      </c>
    </row>
    <row r="378" spans="1:15" x14ac:dyDescent="0.3">
      <c r="A378">
        <v>377</v>
      </c>
      <c r="B378" t="s">
        <v>412</v>
      </c>
      <c r="C378">
        <v>62</v>
      </c>
      <c r="D378" t="s">
        <v>46</v>
      </c>
      <c r="E378" t="s">
        <v>36</v>
      </c>
      <c r="F378" t="s">
        <v>18</v>
      </c>
      <c r="G378" t="s">
        <v>19</v>
      </c>
      <c r="H378">
        <v>9</v>
      </c>
      <c r="I378">
        <v>159300</v>
      </c>
      <c r="J378" s="1">
        <v>44751</v>
      </c>
      <c r="K378" s="1">
        <v>44940</v>
      </c>
      <c r="L378">
        <v>5526</v>
      </c>
      <c r="M378">
        <v>504</v>
      </c>
      <c r="N378" t="s">
        <v>20</v>
      </c>
      <c r="O378">
        <v>189</v>
      </c>
    </row>
    <row r="379" spans="1:15" x14ac:dyDescent="0.3">
      <c r="A379">
        <v>378</v>
      </c>
      <c r="B379" t="s">
        <v>413</v>
      </c>
      <c r="C379">
        <v>37</v>
      </c>
      <c r="D379" t="s">
        <v>29</v>
      </c>
      <c r="E379" t="s">
        <v>25</v>
      </c>
      <c r="F379" t="s">
        <v>26</v>
      </c>
      <c r="G379" t="s">
        <v>19</v>
      </c>
      <c r="H379">
        <v>8</v>
      </c>
      <c r="I379">
        <v>23200</v>
      </c>
      <c r="J379" s="1">
        <v>44831</v>
      </c>
      <c r="K379" s="1">
        <v>44946</v>
      </c>
      <c r="L379">
        <v>216</v>
      </c>
      <c r="M379">
        <v>498</v>
      </c>
      <c r="N379" t="s">
        <v>20</v>
      </c>
      <c r="O379">
        <v>115</v>
      </c>
    </row>
    <row r="380" spans="1:15" x14ac:dyDescent="0.3">
      <c r="A380">
        <v>379</v>
      </c>
      <c r="B380" t="s">
        <v>414</v>
      </c>
      <c r="C380">
        <v>63</v>
      </c>
      <c r="D380" t="s">
        <v>63</v>
      </c>
      <c r="E380" t="s">
        <v>25</v>
      </c>
      <c r="F380" t="s">
        <v>23</v>
      </c>
      <c r="G380" t="s">
        <v>19</v>
      </c>
      <c r="H380">
        <v>6</v>
      </c>
      <c r="I380">
        <v>25800</v>
      </c>
      <c r="J380" s="1">
        <v>45116</v>
      </c>
      <c r="K380" s="1">
        <v>45327</v>
      </c>
      <c r="L380">
        <v>882</v>
      </c>
      <c r="M380">
        <v>117</v>
      </c>
      <c r="N380" t="s">
        <v>47</v>
      </c>
      <c r="O380">
        <v>211</v>
      </c>
    </row>
    <row r="381" spans="1:15" x14ac:dyDescent="0.3">
      <c r="A381">
        <v>380</v>
      </c>
      <c r="B381" t="s">
        <v>415</v>
      </c>
      <c r="C381">
        <v>47</v>
      </c>
      <c r="D381" t="s">
        <v>40</v>
      </c>
      <c r="E381" t="s">
        <v>17</v>
      </c>
      <c r="F381" t="s">
        <v>26</v>
      </c>
      <c r="G381" t="s">
        <v>27</v>
      </c>
      <c r="H381">
        <v>9</v>
      </c>
      <c r="I381">
        <v>17100</v>
      </c>
      <c r="J381" s="1">
        <v>45048</v>
      </c>
      <c r="K381" s="1">
        <v>45341</v>
      </c>
      <c r="L381">
        <v>225</v>
      </c>
      <c r="M381">
        <v>103</v>
      </c>
      <c r="N381" t="s">
        <v>47</v>
      </c>
      <c r="O381">
        <v>293</v>
      </c>
    </row>
    <row r="382" spans="1:15" x14ac:dyDescent="0.3">
      <c r="A382">
        <v>381</v>
      </c>
      <c r="B382" t="s">
        <v>416</v>
      </c>
      <c r="C382">
        <v>23</v>
      </c>
      <c r="D382" t="s">
        <v>46</v>
      </c>
      <c r="E382" t="s">
        <v>30</v>
      </c>
      <c r="F382" t="s">
        <v>23</v>
      </c>
      <c r="G382" t="s">
        <v>33</v>
      </c>
      <c r="H382">
        <v>9</v>
      </c>
      <c r="I382">
        <v>69300</v>
      </c>
      <c r="J382" s="1">
        <v>45091</v>
      </c>
      <c r="K382" s="1">
        <v>45500</v>
      </c>
      <c r="L382">
        <v>1314</v>
      </c>
      <c r="M382">
        <v>-56</v>
      </c>
      <c r="N382" t="s">
        <v>47</v>
      </c>
      <c r="O382">
        <v>409</v>
      </c>
    </row>
    <row r="383" spans="1:15" x14ac:dyDescent="0.3">
      <c r="A383">
        <v>382</v>
      </c>
      <c r="B383" t="s">
        <v>417</v>
      </c>
      <c r="C383">
        <v>31</v>
      </c>
      <c r="D383" t="s">
        <v>52</v>
      </c>
      <c r="E383" t="s">
        <v>17</v>
      </c>
      <c r="F383" t="s">
        <v>26</v>
      </c>
      <c r="G383" t="s">
        <v>19</v>
      </c>
      <c r="H383">
        <v>4</v>
      </c>
      <c r="I383">
        <v>3600</v>
      </c>
      <c r="J383" s="1">
        <v>44691</v>
      </c>
      <c r="K383" s="1">
        <v>44712</v>
      </c>
      <c r="L383">
        <v>148</v>
      </c>
      <c r="M383">
        <v>732</v>
      </c>
      <c r="N383" t="s">
        <v>20</v>
      </c>
      <c r="O383">
        <v>21</v>
      </c>
    </row>
    <row r="384" spans="1:15" x14ac:dyDescent="0.3">
      <c r="A384">
        <v>383</v>
      </c>
      <c r="B384" t="s">
        <v>418</v>
      </c>
      <c r="C384">
        <v>59</v>
      </c>
      <c r="D384" t="s">
        <v>16</v>
      </c>
      <c r="E384" t="s">
        <v>36</v>
      </c>
      <c r="F384" t="s">
        <v>31</v>
      </c>
      <c r="G384" t="s">
        <v>19</v>
      </c>
      <c r="H384">
        <v>5</v>
      </c>
      <c r="I384">
        <v>77500</v>
      </c>
      <c r="J384" s="1">
        <v>44630</v>
      </c>
      <c r="K384" s="1">
        <v>44674</v>
      </c>
      <c r="L384">
        <v>270</v>
      </c>
      <c r="M384">
        <v>770</v>
      </c>
      <c r="N384" t="s">
        <v>20</v>
      </c>
      <c r="O384">
        <v>44</v>
      </c>
    </row>
    <row r="385" spans="1:15" x14ac:dyDescent="0.3">
      <c r="A385">
        <v>384</v>
      </c>
      <c r="B385" t="s">
        <v>419</v>
      </c>
      <c r="C385">
        <v>50</v>
      </c>
      <c r="D385" t="s">
        <v>22</v>
      </c>
      <c r="E385" t="s">
        <v>30</v>
      </c>
      <c r="F385" t="s">
        <v>18</v>
      </c>
      <c r="G385" t="s">
        <v>27</v>
      </c>
      <c r="H385">
        <v>1</v>
      </c>
      <c r="I385">
        <v>9400</v>
      </c>
      <c r="J385" s="1">
        <v>45097</v>
      </c>
      <c r="K385" s="1">
        <v>45497</v>
      </c>
      <c r="L385">
        <v>616</v>
      </c>
      <c r="M385">
        <v>-53</v>
      </c>
      <c r="N385" t="s">
        <v>47</v>
      </c>
      <c r="O385">
        <v>400</v>
      </c>
    </row>
    <row r="386" spans="1:15" x14ac:dyDescent="0.3">
      <c r="A386">
        <v>385</v>
      </c>
      <c r="B386" t="s">
        <v>420</v>
      </c>
      <c r="C386">
        <v>57</v>
      </c>
      <c r="D386" t="s">
        <v>16</v>
      </c>
      <c r="E386" t="s">
        <v>36</v>
      </c>
      <c r="F386" t="s">
        <v>31</v>
      </c>
      <c r="G386" t="s">
        <v>19</v>
      </c>
      <c r="H386">
        <v>10</v>
      </c>
      <c r="I386">
        <v>241000</v>
      </c>
      <c r="J386" s="1">
        <v>44664</v>
      </c>
      <c r="K386" s="1">
        <v>45137</v>
      </c>
      <c r="L386">
        <v>360</v>
      </c>
      <c r="M386">
        <v>307</v>
      </c>
      <c r="N386" t="s">
        <v>20</v>
      </c>
      <c r="O386">
        <v>473</v>
      </c>
    </row>
    <row r="387" spans="1:15" x14ac:dyDescent="0.3">
      <c r="A387">
        <v>386</v>
      </c>
      <c r="B387" t="s">
        <v>421</v>
      </c>
      <c r="C387">
        <v>37</v>
      </c>
      <c r="D387" t="s">
        <v>16</v>
      </c>
      <c r="E387" t="s">
        <v>30</v>
      </c>
      <c r="F387" t="s">
        <v>18</v>
      </c>
      <c r="G387" t="s">
        <v>33</v>
      </c>
      <c r="H387">
        <v>7</v>
      </c>
      <c r="I387">
        <v>58800</v>
      </c>
      <c r="J387" s="1">
        <v>45059</v>
      </c>
      <c r="K387" s="1">
        <v>45351</v>
      </c>
      <c r="L387">
        <v>4396</v>
      </c>
      <c r="M387">
        <v>93</v>
      </c>
      <c r="N387" t="s">
        <v>47</v>
      </c>
      <c r="O387">
        <v>292</v>
      </c>
    </row>
    <row r="388" spans="1:15" x14ac:dyDescent="0.3">
      <c r="A388">
        <v>387</v>
      </c>
      <c r="B388" t="s">
        <v>422</v>
      </c>
      <c r="C388">
        <v>46</v>
      </c>
      <c r="D388" t="s">
        <v>46</v>
      </c>
      <c r="E388" t="s">
        <v>17</v>
      </c>
      <c r="F388" t="s">
        <v>31</v>
      </c>
      <c r="G388" t="s">
        <v>19</v>
      </c>
      <c r="H388">
        <v>3</v>
      </c>
      <c r="I388">
        <v>5400</v>
      </c>
      <c r="J388" s="1">
        <v>44973</v>
      </c>
      <c r="K388" s="1">
        <v>44992</v>
      </c>
      <c r="L388">
        <v>165</v>
      </c>
      <c r="M388">
        <v>452</v>
      </c>
      <c r="N388" t="s">
        <v>20</v>
      </c>
      <c r="O388">
        <v>19</v>
      </c>
    </row>
    <row r="389" spans="1:15" x14ac:dyDescent="0.3">
      <c r="A389">
        <v>388</v>
      </c>
      <c r="B389" t="s">
        <v>423</v>
      </c>
      <c r="C389">
        <v>38</v>
      </c>
      <c r="D389" t="s">
        <v>29</v>
      </c>
      <c r="E389" t="s">
        <v>25</v>
      </c>
      <c r="F389" t="s">
        <v>23</v>
      </c>
      <c r="G389" t="s">
        <v>33</v>
      </c>
      <c r="H389">
        <v>6</v>
      </c>
      <c r="I389">
        <v>6600</v>
      </c>
      <c r="J389" s="1">
        <v>44907</v>
      </c>
      <c r="K389" s="1">
        <v>45325</v>
      </c>
      <c r="L389">
        <v>774</v>
      </c>
      <c r="M389">
        <v>119</v>
      </c>
      <c r="N389" t="s">
        <v>47</v>
      </c>
      <c r="O389">
        <v>418</v>
      </c>
    </row>
    <row r="390" spans="1:15" x14ac:dyDescent="0.3">
      <c r="A390">
        <v>389</v>
      </c>
      <c r="B390" t="s">
        <v>424</v>
      </c>
      <c r="C390">
        <v>35</v>
      </c>
      <c r="D390" t="s">
        <v>38</v>
      </c>
      <c r="E390" t="s">
        <v>30</v>
      </c>
      <c r="F390" t="s">
        <v>26</v>
      </c>
      <c r="G390" t="s">
        <v>19</v>
      </c>
      <c r="H390">
        <v>3</v>
      </c>
      <c r="I390">
        <v>16500</v>
      </c>
      <c r="J390" s="1">
        <v>45015</v>
      </c>
      <c r="K390" s="1">
        <v>45411</v>
      </c>
      <c r="L390">
        <v>90</v>
      </c>
      <c r="M390">
        <v>33</v>
      </c>
      <c r="N390" t="s">
        <v>47</v>
      </c>
      <c r="O390">
        <v>396</v>
      </c>
    </row>
    <row r="391" spans="1:15" x14ac:dyDescent="0.3">
      <c r="A391">
        <v>390</v>
      </c>
      <c r="B391" t="s">
        <v>425</v>
      </c>
      <c r="C391">
        <v>49</v>
      </c>
      <c r="D391" t="s">
        <v>38</v>
      </c>
      <c r="E391" t="s">
        <v>36</v>
      </c>
      <c r="F391" t="s">
        <v>23</v>
      </c>
      <c r="G391" t="s">
        <v>19</v>
      </c>
      <c r="H391">
        <v>4</v>
      </c>
      <c r="I391">
        <v>73200</v>
      </c>
      <c r="J391" s="1">
        <v>45058</v>
      </c>
      <c r="K391" s="1">
        <v>45446</v>
      </c>
      <c r="L391">
        <v>572</v>
      </c>
      <c r="M391">
        <v>-2</v>
      </c>
      <c r="N391" t="s">
        <v>47</v>
      </c>
      <c r="O391">
        <v>388</v>
      </c>
    </row>
    <row r="392" spans="1:15" x14ac:dyDescent="0.3">
      <c r="A392">
        <v>391</v>
      </c>
      <c r="B392" t="s">
        <v>426</v>
      </c>
      <c r="C392">
        <v>40</v>
      </c>
      <c r="D392" t="s">
        <v>29</v>
      </c>
      <c r="E392" t="s">
        <v>17</v>
      </c>
      <c r="F392" t="s">
        <v>31</v>
      </c>
      <c r="G392" t="s">
        <v>19</v>
      </c>
      <c r="H392">
        <v>9</v>
      </c>
      <c r="I392">
        <v>11700</v>
      </c>
      <c r="J392" s="1">
        <v>44700</v>
      </c>
      <c r="K392" s="1">
        <v>45099</v>
      </c>
      <c r="L392">
        <v>567</v>
      </c>
      <c r="M392">
        <v>345</v>
      </c>
      <c r="N392" t="s">
        <v>20</v>
      </c>
      <c r="O392">
        <v>399</v>
      </c>
    </row>
    <row r="393" spans="1:15" x14ac:dyDescent="0.3">
      <c r="A393">
        <v>392</v>
      </c>
      <c r="B393" t="s">
        <v>427</v>
      </c>
      <c r="C393">
        <v>24</v>
      </c>
      <c r="D393" t="s">
        <v>63</v>
      </c>
      <c r="E393" t="s">
        <v>25</v>
      </c>
      <c r="F393" t="s">
        <v>31</v>
      </c>
      <c r="G393" t="s">
        <v>19</v>
      </c>
      <c r="H393">
        <v>4</v>
      </c>
      <c r="I393">
        <v>4400</v>
      </c>
      <c r="J393" s="1">
        <v>45029</v>
      </c>
      <c r="K393" s="1">
        <v>45054</v>
      </c>
      <c r="L393">
        <v>212</v>
      </c>
      <c r="M393">
        <v>390</v>
      </c>
      <c r="N393" t="s">
        <v>20</v>
      </c>
      <c r="O393">
        <v>25</v>
      </c>
    </row>
    <row r="394" spans="1:15" x14ac:dyDescent="0.3">
      <c r="A394">
        <v>393</v>
      </c>
      <c r="B394" t="s">
        <v>428</v>
      </c>
      <c r="C394">
        <v>53</v>
      </c>
      <c r="D394" t="s">
        <v>40</v>
      </c>
      <c r="E394" t="s">
        <v>30</v>
      </c>
      <c r="F394" t="s">
        <v>18</v>
      </c>
      <c r="G394" t="s">
        <v>33</v>
      </c>
      <c r="H394">
        <v>7</v>
      </c>
      <c r="I394">
        <v>57400</v>
      </c>
      <c r="J394" s="1">
        <v>44688</v>
      </c>
      <c r="K394" s="1">
        <v>45036</v>
      </c>
      <c r="L394">
        <v>4137</v>
      </c>
      <c r="M394">
        <v>408</v>
      </c>
      <c r="N394" t="s">
        <v>20</v>
      </c>
      <c r="O394">
        <v>348</v>
      </c>
    </row>
    <row r="395" spans="1:15" x14ac:dyDescent="0.3">
      <c r="A395">
        <v>394</v>
      </c>
      <c r="B395" t="s">
        <v>429</v>
      </c>
      <c r="C395">
        <v>49</v>
      </c>
      <c r="D395" t="s">
        <v>40</v>
      </c>
      <c r="E395" t="s">
        <v>30</v>
      </c>
      <c r="F395" t="s">
        <v>26</v>
      </c>
      <c r="G395" t="s">
        <v>27</v>
      </c>
      <c r="H395">
        <v>3</v>
      </c>
      <c r="I395">
        <v>20700</v>
      </c>
      <c r="J395" s="1">
        <v>45162</v>
      </c>
      <c r="K395" s="1">
        <v>45444</v>
      </c>
      <c r="L395">
        <v>96</v>
      </c>
      <c r="M395">
        <v>0</v>
      </c>
      <c r="N395" t="s">
        <v>47</v>
      </c>
      <c r="O395">
        <v>282</v>
      </c>
    </row>
    <row r="396" spans="1:15" x14ac:dyDescent="0.3">
      <c r="A396">
        <v>395</v>
      </c>
      <c r="B396" t="s">
        <v>430</v>
      </c>
      <c r="C396">
        <v>39</v>
      </c>
      <c r="D396" t="s">
        <v>29</v>
      </c>
      <c r="E396" t="s">
        <v>25</v>
      </c>
      <c r="F396" t="s">
        <v>18</v>
      </c>
      <c r="G396" t="s">
        <v>19</v>
      </c>
      <c r="H396">
        <v>1</v>
      </c>
      <c r="I396">
        <v>2600</v>
      </c>
      <c r="J396" s="1">
        <v>44612</v>
      </c>
      <c r="K396" s="1">
        <v>44695</v>
      </c>
      <c r="L396">
        <v>626</v>
      </c>
      <c r="M396">
        <v>749</v>
      </c>
      <c r="N396" t="s">
        <v>20</v>
      </c>
      <c r="O396">
        <v>83</v>
      </c>
    </row>
    <row r="397" spans="1:15" x14ac:dyDescent="0.3">
      <c r="A397">
        <v>396</v>
      </c>
      <c r="B397" t="s">
        <v>431</v>
      </c>
      <c r="C397">
        <v>38</v>
      </c>
      <c r="D397" t="s">
        <v>40</v>
      </c>
      <c r="E397" t="s">
        <v>25</v>
      </c>
      <c r="F397" t="s">
        <v>31</v>
      </c>
      <c r="G397" t="s">
        <v>19</v>
      </c>
      <c r="H397">
        <v>7</v>
      </c>
      <c r="I397">
        <v>21700</v>
      </c>
      <c r="J397" s="1">
        <v>44582</v>
      </c>
      <c r="K397" s="1">
        <v>45024</v>
      </c>
      <c r="L397">
        <v>210</v>
      </c>
      <c r="M397">
        <v>420</v>
      </c>
      <c r="N397" t="s">
        <v>20</v>
      </c>
      <c r="O397">
        <v>442</v>
      </c>
    </row>
    <row r="398" spans="1:15" x14ac:dyDescent="0.3">
      <c r="A398">
        <v>397</v>
      </c>
      <c r="B398" t="s">
        <v>432</v>
      </c>
      <c r="C398">
        <v>21</v>
      </c>
      <c r="D398" t="s">
        <v>46</v>
      </c>
      <c r="E398" t="s">
        <v>25</v>
      </c>
      <c r="F398" t="s">
        <v>31</v>
      </c>
      <c r="G398" t="s">
        <v>27</v>
      </c>
      <c r="H398">
        <v>4</v>
      </c>
      <c r="I398">
        <v>8000</v>
      </c>
      <c r="J398" s="1">
        <v>44874</v>
      </c>
      <c r="K398" s="1">
        <v>45238</v>
      </c>
      <c r="L398">
        <v>188</v>
      </c>
      <c r="M398">
        <v>206</v>
      </c>
      <c r="N398" t="s">
        <v>20</v>
      </c>
      <c r="O398">
        <v>364</v>
      </c>
    </row>
    <row r="399" spans="1:15" x14ac:dyDescent="0.3">
      <c r="A399">
        <v>398</v>
      </c>
      <c r="B399" t="s">
        <v>433</v>
      </c>
      <c r="C399">
        <v>37</v>
      </c>
      <c r="D399" t="s">
        <v>22</v>
      </c>
      <c r="E399" t="s">
        <v>36</v>
      </c>
      <c r="F399" t="s">
        <v>18</v>
      </c>
      <c r="G399" t="s">
        <v>33</v>
      </c>
      <c r="H399">
        <v>4</v>
      </c>
      <c r="I399">
        <v>81200</v>
      </c>
      <c r="J399" s="1">
        <v>44871</v>
      </c>
      <c r="K399" s="1">
        <v>45217</v>
      </c>
      <c r="L399">
        <v>2492</v>
      </c>
      <c r="M399">
        <v>227</v>
      </c>
      <c r="N399" t="s">
        <v>20</v>
      </c>
      <c r="O399">
        <v>346</v>
      </c>
    </row>
    <row r="400" spans="1:15" x14ac:dyDescent="0.3">
      <c r="A400">
        <v>399</v>
      </c>
      <c r="B400" t="s">
        <v>434</v>
      </c>
      <c r="C400">
        <v>63</v>
      </c>
      <c r="D400" t="s">
        <v>22</v>
      </c>
      <c r="E400" t="s">
        <v>17</v>
      </c>
      <c r="F400" t="s">
        <v>23</v>
      </c>
      <c r="G400" t="s">
        <v>27</v>
      </c>
      <c r="H400">
        <v>6</v>
      </c>
      <c r="I400">
        <v>9600</v>
      </c>
      <c r="J400" s="1">
        <v>44851</v>
      </c>
      <c r="K400" s="1">
        <v>45003</v>
      </c>
      <c r="L400">
        <v>696</v>
      </c>
      <c r="M400">
        <v>441</v>
      </c>
      <c r="N400" t="s">
        <v>20</v>
      </c>
      <c r="O400">
        <v>152</v>
      </c>
    </row>
    <row r="401" spans="1:15" x14ac:dyDescent="0.3">
      <c r="A401">
        <v>400</v>
      </c>
      <c r="B401" t="s">
        <v>435</v>
      </c>
      <c r="C401">
        <v>61</v>
      </c>
      <c r="D401" t="s">
        <v>46</v>
      </c>
      <c r="E401" t="s">
        <v>17</v>
      </c>
      <c r="F401" t="s">
        <v>18</v>
      </c>
      <c r="G401" t="s">
        <v>19</v>
      </c>
      <c r="H401">
        <v>6</v>
      </c>
      <c r="I401">
        <v>6600</v>
      </c>
      <c r="J401" s="1">
        <v>44829</v>
      </c>
      <c r="K401" s="1">
        <v>45164</v>
      </c>
      <c r="L401">
        <v>3654</v>
      </c>
      <c r="M401">
        <v>280</v>
      </c>
      <c r="N401" t="s">
        <v>20</v>
      </c>
      <c r="O401">
        <v>335</v>
      </c>
    </row>
    <row r="402" spans="1:15" x14ac:dyDescent="0.3">
      <c r="A402">
        <v>401</v>
      </c>
      <c r="B402" t="s">
        <v>436</v>
      </c>
      <c r="C402">
        <v>59</v>
      </c>
      <c r="D402" t="s">
        <v>40</v>
      </c>
      <c r="E402" t="s">
        <v>25</v>
      </c>
      <c r="F402" t="s">
        <v>31</v>
      </c>
      <c r="G402" t="s">
        <v>19</v>
      </c>
      <c r="H402">
        <v>7</v>
      </c>
      <c r="I402">
        <v>25900</v>
      </c>
      <c r="J402" s="1">
        <v>44889</v>
      </c>
      <c r="K402" s="1">
        <v>45237</v>
      </c>
      <c r="L402">
        <v>266</v>
      </c>
      <c r="M402">
        <v>207</v>
      </c>
      <c r="N402" t="s">
        <v>20</v>
      </c>
      <c r="O402">
        <v>348</v>
      </c>
    </row>
    <row r="403" spans="1:15" x14ac:dyDescent="0.3">
      <c r="A403">
        <v>402</v>
      </c>
      <c r="B403" t="s">
        <v>437</v>
      </c>
      <c r="C403">
        <v>47</v>
      </c>
      <c r="D403" t="s">
        <v>63</v>
      </c>
      <c r="E403" t="s">
        <v>36</v>
      </c>
      <c r="F403" t="s">
        <v>18</v>
      </c>
      <c r="G403" t="s">
        <v>19</v>
      </c>
      <c r="H403">
        <v>7</v>
      </c>
      <c r="I403">
        <v>123900</v>
      </c>
      <c r="J403" s="1">
        <v>44598</v>
      </c>
      <c r="K403" s="1">
        <v>44896</v>
      </c>
      <c r="L403">
        <v>4382</v>
      </c>
      <c r="M403">
        <v>548</v>
      </c>
      <c r="N403" t="s">
        <v>20</v>
      </c>
      <c r="O403">
        <v>298</v>
      </c>
    </row>
    <row r="404" spans="1:15" x14ac:dyDescent="0.3">
      <c r="A404">
        <v>403</v>
      </c>
      <c r="B404" t="s">
        <v>438</v>
      </c>
      <c r="C404">
        <v>61</v>
      </c>
      <c r="D404" t="s">
        <v>40</v>
      </c>
      <c r="E404" t="s">
        <v>30</v>
      </c>
      <c r="F404" t="s">
        <v>31</v>
      </c>
      <c r="G404" t="s">
        <v>27</v>
      </c>
      <c r="H404">
        <v>8</v>
      </c>
      <c r="I404">
        <v>68000</v>
      </c>
      <c r="J404" s="1">
        <v>44929</v>
      </c>
      <c r="K404" s="1">
        <v>45188</v>
      </c>
      <c r="L404">
        <v>392</v>
      </c>
      <c r="M404">
        <v>256</v>
      </c>
      <c r="N404" t="s">
        <v>20</v>
      </c>
      <c r="O404">
        <v>259</v>
      </c>
    </row>
    <row r="405" spans="1:15" x14ac:dyDescent="0.3">
      <c r="A405">
        <v>404</v>
      </c>
      <c r="B405" t="s">
        <v>439</v>
      </c>
      <c r="C405">
        <v>51</v>
      </c>
      <c r="D405" t="s">
        <v>52</v>
      </c>
      <c r="E405" t="s">
        <v>25</v>
      </c>
      <c r="F405" t="s">
        <v>18</v>
      </c>
      <c r="G405" t="s">
        <v>19</v>
      </c>
      <c r="H405">
        <v>3</v>
      </c>
      <c r="I405">
        <v>12000</v>
      </c>
      <c r="J405" s="1">
        <v>44826</v>
      </c>
      <c r="K405" s="1">
        <v>45197</v>
      </c>
      <c r="L405">
        <v>1875</v>
      </c>
      <c r="M405">
        <v>247</v>
      </c>
      <c r="N405" t="s">
        <v>20</v>
      </c>
      <c r="O405">
        <v>371</v>
      </c>
    </row>
    <row r="406" spans="1:15" x14ac:dyDescent="0.3">
      <c r="A406">
        <v>405</v>
      </c>
      <c r="B406" t="s">
        <v>440</v>
      </c>
      <c r="C406">
        <v>43</v>
      </c>
      <c r="D406" t="s">
        <v>52</v>
      </c>
      <c r="E406" t="s">
        <v>30</v>
      </c>
      <c r="F406" t="s">
        <v>23</v>
      </c>
      <c r="G406" t="s">
        <v>19</v>
      </c>
      <c r="H406">
        <v>4</v>
      </c>
      <c r="I406">
        <v>36400</v>
      </c>
      <c r="J406" s="1">
        <v>44876</v>
      </c>
      <c r="K406" s="1">
        <v>45091</v>
      </c>
      <c r="L406">
        <v>524</v>
      </c>
      <c r="M406">
        <v>353</v>
      </c>
      <c r="N406" t="s">
        <v>20</v>
      </c>
      <c r="O406">
        <v>215</v>
      </c>
    </row>
    <row r="407" spans="1:15" x14ac:dyDescent="0.3">
      <c r="A407">
        <v>406</v>
      </c>
      <c r="B407" t="s">
        <v>441</v>
      </c>
      <c r="C407">
        <v>28</v>
      </c>
      <c r="D407" t="s">
        <v>29</v>
      </c>
      <c r="E407" t="s">
        <v>30</v>
      </c>
      <c r="F407" t="s">
        <v>18</v>
      </c>
      <c r="G407" t="s">
        <v>33</v>
      </c>
      <c r="H407">
        <v>8</v>
      </c>
      <c r="I407">
        <v>27200</v>
      </c>
      <c r="J407" s="1">
        <v>45159</v>
      </c>
      <c r="K407" s="1">
        <v>45456</v>
      </c>
      <c r="L407">
        <v>5032</v>
      </c>
      <c r="M407">
        <v>-12</v>
      </c>
      <c r="N407" t="s">
        <v>47</v>
      </c>
      <c r="O407">
        <v>297</v>
      </c>
    </row>
    <row r="408" spans="1:15" x14ac:dyDescent="0.3">
      <c r="A408">
        <v>407</v>
      </c>
      <c r="B408" t="s">
        <v>442</v>
      </c>
      <c r="C408">
        <v>28</v>
      </c>
      <c r="D408" t="s">
        <v>16</v>
      </c>
      <c r="E408" t="s">
        <v>36</v>
      </c>
      <c r="F408" t="s">
        <v>31</v>
      </c>
      <c r="G408" t="s">
        <v>27</v>
      </c>
      <c r="H408">
        <v>7</v>
      </c>
      <c r="I408">
        <v>156800</v>
      </c>
      <c r="J408" s="1">
        <v>44867</v>
      </c>
      <c r="K408" s="1">
        <v>45078</v>
      </c>
      <c r="L408">
        <v>231</v>
      </c>
      <c r="M408">
        <v>366</v>
      </c>
      <c r="N408" t="s">
        <v>20</v>
      </c>
      <c r="O408">
        <v>211</v>
      </c>
    </row>
    <row r="409" spans="1:15" x14ac:dyDescent="0.3">
      <c r="A409">
        <v>408</v>
      </c>
      <c r="B409" t="s">
        <v>443</v>
      </c>
      <c r="C409">
        <v>47</v>
      </c>
      <c r="D409" t="s">
        <v>52</v>
      </c>
      <c r="E409" t="s">
        <v>25</v>
      </c>
      <c r="F409" t="s">
        <v>31</v>
      </c>
      <c r="G409" t="s">
        <v>19</v>
      </c>
      <c r="H409">
        <v>10</v>
      </c>
      <c r="I409">
        <v>47000</v>
      </c>
      <c r="J409" s="1">
        <v>45030</v>
      </c>
      <c r="K409" s="1">
        <v>45103</v>
      </c>
      <c r="L409">
        <v>500</v>
      </c>
      <c r="M409">
        <v>341</v>
      </c>
      <c r="N409" t="s">
        <v>20</v>
      </c>
      <c r="O409">
        <v>73</v>
      </c>
    </row>
    <row r="410" spans="1:15" x14ac:dyDescent="0.3">
      <c r="A410">
        <v>409</v>
      </c>
      <c r="B410" t="s">
        <v>444</v>
      </c>
      <c r="C410">
        <v>61</v>
      </c>
      <c r="D410" t="s">
        <v>52</v>
      </c>
      <c r="E410" t="s">
        <v>17</v>
      </c>
      <c r="F410" t="s">
        <v>26</v>
      </c>
      <c r="G410" t="s">
        <v>19</v>
      </c>
      <c r="H410">
        <v>3</v>
      </c>
      <c r="I410">
        <v>3300</v>
      </c>
      <c r="J410" s="1">
        <v>44621</v>
      </c>
      <c r="K410" s="1">
        <v>44623</v>
      </c>
      <c r="L410">
        <v>114</v>
      </c>
      <c r="M410">
        <v>821</v>
      </c>
      <c r="N410" t="s">
        <v>20</v>
      </c>
      <c r="O410">
        <v>2</v>
      </c>
    </row>
    <row r="411" spans="1:15" x14ac:dyDescent="0.3">
      <c r="A411">
        <v>410</v>
      </c>
      <c r="B411" t="s">
        <v>445</v>
      </c>
      <c r="C411">
        <v>31</v>
      </c>
      <c r="D411" t="s">
        <v>38</v>
      </c>
      <c r="E411" t="s">
        <v>25</v>
      </c>
      <c r="F411" t="s">
        <v>31</v>
      </c>
      <c r="G411" t="s">
        <v>27</v>
      </c>
      <c r="H411">
        <v>8</v>
      </c>
      <c r="I411">
        <v>33600</v>
      </c>
      <c r="J411" s="1">
        <v>44652</v>
      </c>
      <c r="K411" s="1">
        <v>44718</v>
      </c>
      <c r="L411">
        <v>552</v>
      </c>
      <c r="M411">
        <v>726</v>
      </c>
      <c r="N411" t="s">
        <v>20</v>
      </c>
      <c r="O411">
        <v>66</v>
      </c>
    </row>
    <row r="412" spans="1:15" x14ac:dyDescent="0.3">
      <c r="A412">
        <v>411</v>
      </c>
      <c r="B412" t="s">
        <v>446</v>
      </c>
      <c r="C412">
        <v>51</v>
      </c>
      <c r="D412" t="s">
        <v>22</v>
      </c>
      <c r="E412" t="s">
        <v>36</v>
      </c>
      <c r="F412" t="s">
        <v>26</v>
      </c>
      <c r="G412" t="s">
        <v>33</v>
      </c>
      <c r="H412">
        <v>7</v>
      </c>
      <c r="I412">
        <v>36400</v>
      </c>
      <c r="J412" s="1">
        <v>44600</v>
      </c>
      <c r="K412" s="1">
        <v>44873</v>
      </c>
      <c r="L412">
        <v>154</v>
      </c>
      <c r="M412">
        <v>571</v>
      </c>
      <c r="N412" t="s">
        <v>20</v>
      </c>
      <c r="O412">
        <v>273</v>
      </c>
    </row>
    <row r="413" spans="1:15" x14ac:dyDescent="0.3">
      <c r="A413">
        <v>412</v>
      </c>
      <c r="B413" t="s">
        <v>447</v>
      </c>
      <c r="C413">
        <v>33</v>
      </c>
      <c r="D413" t="s">
        <v>29</v>
      </c>
      <c r="E413" t="s">
        <v>17</v>
      </c>
      <c r="F413" t="s">
        <v>18</v>
      </c>
      <c r="G413" t="s">
        <v>27</v>
      </c>
      <c r="H413">
        <v>1</v>
      </c>
      <c r="I413">
        <v>1900</v>
      </c>
      <c r="J413" s="1">
        <v>44566</v>
      </c>
      <c r="K413" s="1">
        <v>44886</v>
      </c>
      <c r="L413">
        <v>605</v>
      </c>
      <c r="M413">
        <v>558</v>
      </c>
      <c r="N413" t="s">
        <v>20</v>
      </c>
      <c r="O413">
        <v>320</v>
      </c>
    </row>
    <row r="414" spans="1:15" x14ac:dyDescent="0.3">
      <c r="A414">
        <v>413</v>
      </c>
      <c r="B414" t="s">
        <v>448</v>
      </c>
      <c r="C414">
        <v>27</v>
      </c>
      <c r="D414" t="s">
        <v>40</v>
      </c>
      <c r="E414" t="s">
        <v>30</v>
      </c>
      <c r="F414" t="s">
        <v>18</v>
      </c>
      <c r="G414" t="s">
        <v>19</v>
      </c>
      <c r="H414">
        <v>7</v>
      </c>
      <c r="I414">
        <v>49700</v>
      </c>
      <c r="J414" s="1">
        <v>44875</v>
      </c>
      <c r="K414" s="1">
        <v>44960</v>
      </c>
      <c r="L414">
        <v>4158</v>
      </c>
      <c r="M414">
        <v>484</v>
      </c>
      <c r="N414" t="s">
        <v>20</v>
      </c>
      <c r="O414">
        <v>85</v>
      </c>
    </row>
    <row r="415" spans="1:15" x14ac:dyDescent="0.3">
      <c r="A415">
        <v>414</v>
      </c>
      <c r="B415" t="s">
        <v>449</v>
      </c>
      <c r="C415">
        <v>54</v>
      </c>
      <c r="D415" t="s">
        <v>63</v>
      </c>
      <c r="E415" t="s">
        <v>30</v>
      </c>
      <c r="F415" t="s">
        <v>18</v>
      </c>
      <c r="G415" t="s">
        <v>33</v>
      </c>
      <c r="H415">
        <v>10</v>
      </c>
      <c r="I415">
        <v>73000</v>
      </c>
      <c r="J415" s="1">
        <v>44907</v>
      </c>
      <c r="K415" s="1">
        <v>45129</v>
      </c>
      <c r="L415">
        <v>5980</v>
      </c>
      <c r="M415">
        <v>315</v>
      </c>
      <c r="N415" t="s">
        <v>20</v>
      </c>
      <c r="O415">
        <v>222</v>
      </c>
    </row>
    <row r="416" spans="1:15" x14ac:dyDescent="0.3">
      <c r="A416">
        <v>415</v>
      </c>
      <c r="B416" t="s">
        <v>450</v>
      </c>
      <c r="C416">
        <v>31</v>
      </c>
      <c r="D416" t="s">
        <v>29</v>
      </c>
      <c r="E416" t="s">
        <v>36</v>
      </c>
      <c r="F416" t="s">
        <v>18</v>
      </c>
      <c r="G416" t="s">
        <v>19</v>
      </c>
      <c r="H416">
        <v>7</v>
      </c>
      <c r="I416">
        <v>39200</v>
      </c>
      <c r="J416" s="1">
        <v>44795</v>
      </c>
      <c r="K416" s="1">
        <v>44909</v>
      </c>
      <c r="L416">
        <v>4186</v>
      </c>
      <c r="M416">
        <v>535</v>
      </c>
      <c r="N416" t="s">
        <v>20</v>
      </c>
      <c r="O416">
        <v>114</v>
      </c>
    </row>
    <row r="417" spans="1:15" x14ac:dyDescent="0.3">
      <c r="A417">
        <v>416</v>
      </c>
      <c r="B417" t="s">
        <v>451</v>
      </c>
      <c r="C417">
        <v>44</v>
      </c>
      <c r="D417" t="s">
        <v>40</v>
      </c>
      <c r="E417" t="s">
        <v>17</v>
      </c>
      <c r="F417" t="s">
        <v>31</v>
      </c>
      <c r="G417" t="s">
        <v>19</v>
      </c>
      <c r="H417">
        <v>1</v>
      </c>
      <c r="I417">
        <v>1300</v>
      </c>
      <c r="J417" s="1">
        <v>44823</v>
      </c>
      <c r="K417" s="1">
        <v>45217</v>
      </c>
      <c r="L417">
        <v>64</v>
      </c>
      <c r="M417">
        <v>227</v>
      </c>
      <c r="N417" t="s">
        <v>20</v>
      </c>
      <c r="O417">
        <v>394</v>
      </c>
    </row>
    <row r="418" spans="1:15" x14ac:dyDescent="0.3">
      <c r="A418">
        <v>417</v>
      </c>
      <c r="B418" t="s">
        <v>452</v>
      </c>
      <c r="C418">
        <v>24</v>
      </c>
      <c r="D418" t="s">
        <v>63</v>
      </c>
      <c r="E418" t="s">
        <v>17</v>
      </c>
      <c r="F418" t="s">
        <v>23</v>
      </c>
      <c r="G418" t="s">
        <v>19</v>
      </c>
      <c r="H418">
        <v>2</v>
      </c>
      <c r="I418">
        <v>2800</v>
      </c>
      <c r="J418" s="1">
        <v>45016</v>
      </c>
      <c r="K418" s="1">
        <v>45210</v>
      </c>
      <c r="L418">
        <v>234</v>
      </c>
      <c r="M418">
        <v>234</v>
      </c>
      <c r="N418" t="s">
        <v>20</v>
      </c>
      <c r="O418">
        <v>194</v>
      </c>
    </row>
    <row r="419" spans="1:15" x14ac:dyDescent="0.3">
      <c r="A419">
        <v>418</v>
      </c>
      <c r="B419" t="s">
        <v>453</v>
      </c>
      <c r="C419">
        <v>65</v>
      </c>
      <c r="D419" t="s">
        <v>38</v>
      </c>
      <c r="E419" t="s">
        <v>36</v>
      </c>
      <c r="F419" t="s">
        <v>31</v>
      </c>
      <c r="G419" t="s">
        <v>19</v>
      </c>
      <c r="H419">
        <v>1</v>
      </c>
      <c r="I419">
        <v>14900</v>
      </c>
      <c r="J419" s="1">
        <v>44992</v>
      </c>
      <c r="K419" s="1">
        <v>45330</v>
      </c>
      <c r="L419">
        <v>36</v>
      </c>
      <c r="M419">
        <v>114</v>
      </c>
      <c r="N419" t="s">
        <v>47</v>
      </c>
      <c r="O419">
        <v>338</v>
      </c>
    </row>
    <row r="420" spans="1:15" x14ac:dyDescent="0.3">
      <c r="A420">
        <v>419</v>
      </c>
      <c r="B420" t="s">
        <v>454</v>
      </c>
      <c r="C420">
        <v>53</v>
      </c>
      <c r="D420" t="s">
        <v>38</v>
      </c>
      <c r="E420" t="s">
        <v>25</v>
      </c>
      <c r="F420" t="s">
        <v>26</v>
      </c>
      <c r="G420" t="s">
        <v>19</v>
      </c>
      <c r="H420">
        <v>10</v>
      </c>
      <c r="I420">
        <v>15000</v>
      </c>
      <c r="J420" s="1">
        <v>44851</v>
      </c>
      <c r="K420" s="1">
        <v>44909</v>
      </c>
      <c r="L420">
        <v>160</v>
      </c>
      <c r="M420">
        <v>535</v>
      </c>
      <c r="N420" t="s">
        <v>20</v>
      </c>
      <c r="O420">
        <v>58</v>
      </c>
    </row>
    <row r="421" spans="1:15" x14ac:dyDescent="0.3">
      <c r="A421">
        <v>420</v>
      </c>
      <c r="B421" t="s">
        <v>455</v>
      </c>
      <c r="C421">
        <v>54</v>
      </c>
      <c r="D421" t="s">
        <v>46</v>
      </c>
      <c r="E421" t="s">
        <v>25</v>
      </c>
      <c r="F421" t="s">
        <v>31</v>
      </c>
      <c r="G421" t="s">
        <v>19</v>
      </c>
      <c r="H421">
        <v>4</v>
      </c>
      <c r="I421">
        <v>10000</v>
      </c>
      <c r="J421" s="1">
        <v>44981</v>
      </c>
      <c r="K421" s="1">
        <v>45132</v>
      </c>
      <c r="L421">
        <v>160</v>
      </c>
      <c r="M421">
        <v>312</v>
      </c>
      <c r="N421" t="s">
        <v>20</v>
      </c>
      <c r="O421">
        <v>151</v>
      </c>
    </row>
    <row r="422" spans="1:15" x14ac:dyDescent="0.3">
      <c r="A422">
        <v>421</v>
      </c>
      <c r="B422" t="s">
        <v>456</v>
      </c>
      <c r="C422">
        <v>42</v>
      </c>
      <c r="D422" t="s">
        <v>63</v>
      </c>
      <c r="E422" t="s">
        <v>36</v>
      </c>
      <c r="F422" t="s">
        <v>31</v>
      </c>
      <c r="G422" t="s">
        <v>33</v>
      </c>
      <c r="H422">
        <v>4</v>
      </c>
      <c r="I422">
        <v>20400</v>
      </c>
      <c r="J422" s="1">
        <v>44575</v>
      </c>
      <c r="K422" s="1">
        <v>44918</v>
      </c>
      <c r="L422">
        <v>140</v>
      </c>
      <c r="M422">
        <v>526</v>
      </c>
      <c r="N422" t="s">
        <v>20</v>
      </c>
      <c r="O422">
        <v>343</v>
      </c>
    </row>
    <row r="423" spans="1:15" x14ac:dyDescent="0.3">
      <c r="A423">
        <v>422</v>
      </c>
      <c r="B423" t="s">
        <v>457</v>
      </c>
      <c r="C423">
        <v>53</v>
      </c>
      <c r="D423" t="s">
        <v>16</v>
      </c>
      <c r="E423" t="s">
        <v>36</v>
      </c>
      <c r="F423" t="s">
        <v>31</v>
      </c>
      <c r="G423" t="s">
        <v>19</v>
      </c>
      <c r="H423">
        <v>2</v>
      </c>
      <c r="I423">
        <v>16600</v>
      </c>
      <c r="J423" s="1">
        <v>44824</v>
      </c>
      <c r="K423" s="1">
        <v>45153</v>
      </c>
      <c r="L423">
        <v>88</v>
      </c>
      <c r="M423">
        <v>291</v>
      </c>
      <c r="N423" t="s">
        <v>20</v>
      </c>
      <c r="O423">
        <v>329</v>
      </c>
    </row>
    <row r="424" spans="1:15" x14ac:dyDescent="0.3">
      <c r="A424">
        <v>423</v>
      </c>
      <c r="B424" t="s">
        <v>458</v>
      </c>
      <c r="C424">
        <v>24</v>
      </c>
      <c r="D424" t="s">
        <v>46</v>
      </c>
      <c r="E424" t="s">
        <v>30</v>
      </c>
      <c r="F424" t="s">
        <v>18</v>
      </c>
      <c r="G424" t="s">
        <v>33</v>
      </c>
      <c r="H424">
        <v>2</v>
      </c>
      <c r="I424">
        <v>19400</v>
      </c>
      <c r="J424" s="1">
        <v>44740</v>
      </c>
      <c r="K424" s="1">
        <v>45187</v>
      </c>
      <c r="L424">
        <v>1184</v>
      </c>
      <c r="M424">
        <v>257</v>
      </c>
      <c r="N424" t="s">
        <v>20</v>
      </c>
      <c r="O424">
        <v>447</v>
      </c>
    </row>
    <row r="425" spans="1:15" x14ac:dyDescent="0.3">
      <c r="A425">
        <v>424</v>
      </c>
      <c r="B425" t="s">
        <v>459</v>
      </c>
      <c r="C425">
        <v>28</v>
      </c>
      <c r="D425" t="s">
        <v>38</v>
      </c>
      <c r="E425" t="s">
        <v>30</v>
      </c>
      <c r="F425" t="s">
        <v>18</v>
      </c>
      <c r="G425" t="s">
        <v>33</v>
      </c>
      <c r="H425">
        <v>2</v>
      </c>
      <c r="I425">
        <v>20000</v>
      </c>
      <c r="J425" s="1">
        <v>44608</v>
      </c>
      <c r="K425" s="1">
        <v>44612</v>
      </c>
      <c r="L425">
        <v>1196</v>
      </c>
      <c r="M425">
        <v>832</v>
      </c>
      <c r="N425" t="s">
        <v>20</v>
      </c>
      <c r="O425">
        <v>4</v>
      </c>
    </row>
    <row r="426" spans="1:15" x14ac:dyDescent="0.3">
      <c r="A426">
        <v>425</v>
      </c>
      <c r="B426" t="s">
        <v>460</v>
      </c>
      <c r="C426">
        <v>60</v>
      </c>
      <c r="D426" t="s">
        <v>52</v>
      </c>
      <c r="E426" t="s">
        <v>30</v>
      </c>
      <c r="F426" t="s">
        <v>18</v>
      </c>
      <c r="G426" t="s">
        <v>33</v>
      </c>
      <c r="H426">
        <v>5</v>
      </c>
      <c r="I426">
        <v>45000</v>
      </c>
      <c r="J426" s="1">
        <v>44657</v>
      </c>
      <c r="K426" s="1">
        <v>44847</v>
      </c>
      <c r="L426">
        <v>3055</v>
      </c>
      <c r="M426">
        <v>597</v>
      </c>
      <c r="N426" t="s">
        <v>20</v>
      </c>
      <c r="O426">
        <v>190</v>
      </c>
    </row>
    <row r="427" spans="1:15" x14ac:dyDescent="0.3">
      <c r="A427">
        <v>426</v>
      </c>
      <c r="B427" t="s">
        <v>461</v>
      </c>
      <c r="C427">
        <v>50</v>
      </c>
      <c r="D427" t="s">
        <v>52</v>
      </c>
      <c r="E427" t="s">
        <v>17</v>
      </c>
      <c r="F427" t="s">
        <v>26</v>
      </c>
      <c r="G427" t="s">
        <v>33</v>
      </c>
      <c r="H427">
        <v>5</v>
      </c>
      <c r="I427">
        <v>6500</v>
      </c>
      <c r="J427" s="1">
        <v>45051</v>
      </c>
      <c r="K427" s="1">
        <v>45460</v>
      </c>
      <c r="L427">
        <v>180</v>
      </c>
      <c r="M427">
        <v>-16</v>
      </c>
      <c r="N427" t="s">
        <v>47</v>
      </c>
      <c r="O427">
        <v>409</v>
      </c>
    </row>
    <row r="428" spans="1:15" x14ac:dyDescent="0.3">
      <c r="A428">
        <v>427</v>
      </c>
      <c r="B428" t="s">
        <v>462</v>
      </c>
      <c r="C428">
        <v>31</v>
      </c>
      <c r="D428" t="s">
        <v>52</v>
      </c>
      <c r="E428" t="s">
        <v>17</v>
      </c>
      <c r="F428" t="s">
        <v>31</v>
      </c>
      <c r="G428" t="s">
        <v>19</v>
      </c>
      <c r="H428">
        <v>2</v>
      </c>
      <c r="I428">
        <v>2800</v>
      </c>
      <c r="J428" s="1">
        <v>45056</v>
      </c>
      <c r="K428" s="1">
        <v>45466</v>
      </c>
      <c r="L428">
        <v>132</v>
      </c>
      <c r="M428">
        <v>-22</v>
      </c>
      <c r="N428" t="s">
        <v>47</v>
      </c>
      <c r="O428">
        <v>410</v>
      </c>
    </row>
    <row r="429" spans="1:15" x14ac:dyDescent="0.3">
      <c r="A429">
        <v>428</v>
      </c>
      <c r="B429" t="s">
        <v>463</v>
      </c>
      <c r="C429">
        <v>60</v>
      </c>
      <c r="D429" t="s">
        <v>46</v>
      </c>
      <c r="E429" t="s">
        <v>25</v>
      </c>
      <c r="F429" t="s">
        <v>26</v>
      </c>
      <c r="G429" t="s">
        <v>19</v>
      </c>
      <c r="H429">
        <v>1</v>
      </c>
      <c r="I429">
        <v>4500</v>
      </c>
      <c r="J429" s="1">
        <v>44695</v>
      </c>
      <c r="K429" s="1">
        <v>44942</v>
      </c>
      <c r="L429">
        <v>41</v>
      </c>
      <c r="M429">
        <v>502</v>
      </c>
      <c r="N429" t="s">
        <v>20</v>
      </c>
      <c r="O429">
        <v>247</v>
      </c>
    </row>
    <row r="430" spans="1:15" x14ac:dyDescent="0.3">
      <c r="A430">
        <v>429</v>
      </c>
      <c r="B430" t="s">
        <v>464</v>
      </c>
      <c r="C430">
        <v>25</v>
      </c>
      <c r="D430" t="s">
        <v>16</v>
      </c>
      <c r="E430" t="s">
        <v>36</v>
      </c>
      <c r="F430" t="s">
        <v>26</v>
      </c>
      <c r="G430" t="s">
        <v>19</v>
      </c>
      <c r="H430">
        <v>5</v>
      </c>
      <c r="I430">
        <v>76500</v>
      </c>
      <c r="J430" s="1">
        <v>44574</v>
      </c>
      <c r="K430" s="1">
        <v>44934</v>
      </c>
      <c r="L430">
        <v>215</v>
      </c>
      <c r="M430">
        <v>510</v>
      </c>
      <c r="N430" t="s">
        <v>20</v>
      </c>
      <c r="O430">
        <v>360</v>
      </c>
    </row>
    <row r="431" spans="1:15" x14ac:dyDescent="0.3">
      <c r="A431">
        <v>430</v>
      </c>
      <c r="B431" t="s">
        <v>465</v>
      </c>
      <c r="C431">
        <v>63</v>
      </c>
      <c r="D431" t="s">
        <v>40</v>
      </c>
      <c r="E431" t="s">
        <v>30</v>
      </c>
      <c r="F431" t="s">
        <v>23</v>
      </c>
      <c r="G431" t="s">
        <v>33</v>
      </c>
      <c r="H431">
        <v>4</v>
      </c>
      <c r="I431">
        <v>27600</v>
      </c>
      <c r="J431" s="1">
        <v>44916</v>
      </c>
      <c r="K431" s="1">
        <v>45255</v>
      </c>
      <c r="L431">
        <v>536</v>
      </c>
      <c r="M431">
        <v>189</v>
      </c>
      <c r="N431" t="s">
        <v>20</v>
      </c>
      <c r="O431">
        <v>339</v>
      </c>
    </row>
    <row r="432" spans="1:15" x14ac:dyDescent="0.3">
      <c r="A432">
        <v>431</v>
      </c>
      <c r="B432" t="s">
        <v>466</v>
      </c>
      <c r="C432">
        <v>53</v>
      </c>
      <c r="D432" t="s">
        <v>52</v>
      </c>
      <c r="E432" t="s">
        <v>17</v>
      </c>
      <c r="F432" t="s">
        <v>23</v>
      </c>
      <c r="G432" t="s">
        <v>19</v>
      </c>
      <c r="H432">
        <v>8</v>
      </c>
      <c r="I432">
        <v>12000</v>
      </c>
      <c r="J432" s="1">
        <v>44731</v>
      </c>
      <c r="K432" s="1">
        <v>44769</v>
      </c>
      <c r="L432">
        <v>1128</v>
      </c>
      <c r="M432">
        <v>675</v>
      </c>
      <c r="N432" t="s">
        <v>20</v>
      </c>
      <c r="O432">
        <v>38</v>
      </c>
    </row>
    <row r="433" spans="1:15" x14ac:dyDescent="0.3">
      <c r="A433">
        <v>432</v>
      </c>
      <c r="B433" t="s">
        <v>467</v>
      </c>
      <c r="C433">
        <v>24</v>
      </c>
      <c r="D433" t="s">
        <v>29</v>
      </c>
      <c r="E433" t="s">
        <v>25</v>
      </c>
      <c r="F433" t="s">
        <v>18</v>
      </c>
      <c r="G433" t="s">
        <v>19</v>
      </c>
      <c r="H433">
        <v>9</v>
      </c>
      <c r="I433">
        <v>17100</v>
      </c>
      <c r="J433" s="1">
        <v>45125</v>
      </c>
      <c r="K433" s="1">
        <v>45454</v>
      </c>
      <c r="L433">
        <v>5526</v>
      </c>
      <c r="M433">
        <v>-10</v>
      </c>
      <c r="N433" t="s">
        <v>47</v>
      </c>
      <c r="O433">
        <v>329</v>
      </c>
    </row>
    <row r="434" spans="1:15" x14ac:dyDescent="0.3">
      <c r="A434">
        <v>433</v>
      </c>
      <c r="B434" t="s">
        <v>468</v>
      </c>
      <c r="C434">
        <v>49</v>
      </c>
      <c r="D434" t="s">
        <v>22</v>
      </c>
      <c r="E434" t="s">
        <v>25</v>
      </c>
      <c r="F434" t="s">
        <v>23</v>
      </c>
      <c r="G434" t="s">
        <v>33</v>
      </c>
      <c r="H434">
        <v>10</v>
      </c>
      <c r="I434">
        <v>28000</v>
      </c>
      <c r="J434" s="1">
        <v>44652</v>
      </c>
      <c r="K434" s="1">
        <v>45090</v>
      </c>
      <c r="L434">
        <v>1410</v>
      </c>
      <c r="M434">
        <v>354</v>
      </c>
      <c r="N434" t="s">
        <v>20</v>
      </c>
      <c r="O434">
        <v>438</v>
      </c>
    </row>
    <row r="435" spans="1:15" x14ac:dyDescent="0.3">
      <c r="A435">
        <v>434</v>
      </c>
      <c r="B435" t="s">
        <v>469</v>
      </c>
      <c r="C435">
        <v>62</v>
      </c>
      <c r="D435" t="s">
        <v>46</v>
      </c>
      <c r="E435" t="s">
        <v>30</v>
      </c>
      <c r="F435" t="s">
        <v>23</v>
      </c>
      <c r="G435" t="s">
        <v>33</v>
      </c>
      <c r="H435">
        <v>1</v>
      </c>
      <c r="I435">
        <v>3800</v>
      </c>
      <c r="J435" s="1">
        <v>44975</v>
      </c>
      <c r="K435" s="1">
        <v>45186</v>
      </c>
      <c r="L435">
        <v>112</v>
      </c>
      <c r="M435">
        <v>258</v>
      </c>
      <c r="N435" t="s">
        <v>20</v>
      </c>
      <c r="O435">
        <v>211</v>
      </c>
    </row>
    <row r="436" spans="1:15" x14ac:dyDescent="0.3">
      <c r="A436">
        <v>435</v>
      </c>
      <c r="B436" t="s">
        <v>470</v>
      </c>
      <c r="C436">
        <v>56</v>
      </c>
      <c r="D436" t="s">
        <v>63</v>
      </c>
      <c r="E436" t="s">
        <v>17</v>
      </c>
      <c r="F436" t="s">
        <v>18</v>
      </c>
      <c r="G436" t="s">
        <v>27</v>
      </c>
      <c r="H436">
        <v>4</v>
      </c>
      <c r="I436">
        <v>7200</v>
      </c>
      <c r="J436" s="1">
        <v>45029</v>
      </c>
      <c r="K436" s="1">
        <v>45515</v>
      </c>
      <c r="L436">
        <v>2444</v>
      </c>
      <c r="M436">
        <v>-71</v>
      </c>
      <c r="N436" t="s">
        <v>47</v>
      </c>
      <c r="O436">
        <v>486</v>
      </c>
    </row>
    <row r="437" spans="1:15" x14ac:dyDescent="0.3">
      <c r="A437">
        <v>436</v>
      </c>
      <c r="B437" t="s">
        <v>471</v>
      </c>
      <c r="C437">
        <v>42</v>
      </c>
      <c r="D437" t="s">
        <v>29</v>
      </c>
      <c r="E437" t="s">
        <v>17</v>
      </c>
      <c r="F437" t="s">
        <v>31</v>
      </c>
      <c r="G437" t="s">
        <v>33</v>
      </c>
      <c r="H437">
        <v>9</v>
      </c>
      <c r="I437">
        <v>16200</v>
      </c>
      <c r="J437" s="1">
        <v>45046</v>
      </c>
      <c r="K437" s="1">
        <v>45412</v>
      </c>
      <c r="L437">
        <v>477</v>
      </c>
      <c r="M437">
        <v>32</v>
      </c>
      <c r="N437" t="s">
        <v>47</v>
      </c>
      <c r="O437">
        <v>366</v>
      </c>
    </row>
    <row r="438" spans="1:15" x14ac:dyDescent="0.3">
      <c r="A438">
        <v>437</v>
      </c>
      <c r="B438" t="s">
        <v>472</v>
      </c>
      <c r="C438">
        <v>21</v>
      </c>
      <c r="D438" t="s">
        <v>46</v>
      </c>
      <c r="E438" t="s">
        <v>17</v>
      </c>
      <c r="F438" t="s">
        <v>23</v>
      </c>
      <c r="G438" t="s">
        <v>19</v>
      </c>
      <c r="H438">
        <v>6</v>
      </c>
      <c r="I438">
        <v>7200</v>
      </c>
      <c r="J438" s="1">
        <v>44860</v>
      </c>
      <c r="K438" s="1">
        <v>45140</v>
      </c>
      <c r="L438">
        <v>858</v>
      </c>
      <c r="M438">
        <v>304</v>
      </c>
      <c r="N438" t="s">
        <v>20</v>
      </c>
      <c r="O438">
        <v>280</v>
      </c>
    </row>
    <row r="439" spans="1:15" x14ac:dyDescent="0.3">
      <c r="A439">
        <v>438</v>
      </c>
      <c r="B439" t="s">
        <v>473</v>
      </c>
      <c r="C439">
        <v>52</v>
      </c>
      <c r="D439" t="s">
        <v>29</v>
      </c>
      <c r="E439" t="s">
        <v>17</v>
      </c>
      <c r="F439" t="s">
        <v>23</v>
      </c>
      <c r="G439" t="s">
        <v>19</v>
      </c>
      <c r="H439">
        <v>3</v>
      </c>
      <c r="I439">
        <v>6000</v>
      </c>
      <c r="J439" s="1">
        <v>44981</v>
      </c>
      <c r="K439" s="1">
        <v>45035</v>
      </c>
      <c r="L439">
        <v>378</v>
      </c>
      <c r="M439">
        <v>409</v>
      </c>
      <c r="N439" t="s">
        <v>20</v>
      </c>
      <c r="O439">
        <v>54</v>
      </c>
    </row>
    <row r="440" spans="1:15" x14ac:dyDescent="0.3">
      <c r="A440">
        <v>439</v>
      </c>
      <c r="B440" t="s">
        <v>474</v>
      </c>
      <c r="C440">
        <v>34</v>
      </c>
      <c r="D440" t="s">
        <v>40</v>
      </c>
      <c r="E440" t="s">
        <v>25</v>
      </c>
      <c r="F440" t="s">
        <v>23</v>
      </c>
      <c r="G440" t="s">
        <v>33</v>
      </c>
      <c r="H440">
        <v>8</v>
      </c>
      <c r="I440">
        <v>35200</v>
      </c>
      <c r="J440" s="1">
        <v>44757</v>
      </c>
      <c r="K440" s="1">
        <v>45123</v>
      </c>
      <c r="L440">
        <v>1048</v>
      </c>
      <c r="M440">
        <v>321</v>
      </c>
      <c r="N440" t="s">
        <v>20</v>
      </c>
      <c r="O440">
        <v>366</v>
      </c>
    </row>
    <row r="441" spans="1:15" x14ac:dyDescent="0.3">
      <c r="A441">
        <v>440</v>
      </c>
      <c r="B441" t="s">
        <v>475</v>
      </c>
      <c r="C441">
        <v>28</v>
      </c>
      <c r="D441" t="s">
        <v>16</v>
      </c>
      <c r="E441" t="s">
        <v>36</v>
      </c>
      <c r="F441" t="s">
        <v>23</v>
      </c>
      <c r="G441" t="s">
        <v>27</v>
      </c>
      <c r="H441">
        <v>8</v>
      </c>
      <c r="I441">
        <v>160000</v>
      </c>
      <c r="J441" s="1">
        <v>45078</v>
      </c>
      <c r="K441" s="1">
        <v>45146</v>
      </c>
      <c r="L441">
        <v>1128</v>
      </c>
      <c r="M441">
        <v>298</v>
      </c>
      <c r="N441" t="s">
        <v>20</v>
      </c>
      <c r="O441">
        <v>68</v>
      </c>
    </row>
    <row r="442" spans="1:15" x14ac:dyDescent="0.3">
      <c r="A442">
        <v>441</v>
      </c>
      <c r="B442" t="s">
        <v>476</v>
      </c>
      <c r="C442">
        <v>51</v>
      </c>
      <c r="D442" t="s">
        <v>63</v>
      </c>
      <c r="E442" t="s">
        <v>17</v>
      </c>
      <c r="F442" t="s">
        <v>26</v>
      </c>
      <c r="G442" t="s">
        <v>27</v>
      </c>
      <c r="H442">
        <v>9</v>
      </c>
      <c r="I442">
        <v>8100</v>
      </c>
      <c r="J442" s="1">
        <v>45154</v>
      </c>
      <c r="K442" s="1">
        <v>45242</v>
      </c>
      <c r="L442">
        <v>162</v>
      </c>
      <c r="M442">
        <v>202</v>
      </c>
      <c r="N442" t="s">
        <v>20</v>
      </c>
      <c r="O442">
        <v>88</v>
      </c>
    </row>
    <row r="443" spans="1:15" x14ac:dyDescent="0.3">
      <c r="A443">
        <v>442</v>
      </c>
      <c r="B443" t="s">
        <v>477</v>
      </c>
      <c r="C443">
        <v>45</v>
      </c>
      <c r="D443" t="s">
        <v>16</v>
      </c>
      <c r="E443" t="s">
        <v>36</v>
      </c>
      <c r="F443" t="s">
        <v>18</v>
      </c>
      <c r="G443" t="s">
        <v>27</v>
      </c>
      <c r="H443">
        <v>7</v>
      </c>
      <c r="I443">
        <v>175000</v>
      </c>
      <c r="J443" s="1">
        <v>44816</v>
      </c>
      <c r="K443" s="1">
        <v>44956</v>
      </c>
      <c r="L443">
        <v>4305</v>
      </c>
      <c r="M443">
        <v>488</v>
      </c>
      <c r="N443" t="s">
        <v>20</v>
      </c>
      <c r="O443">
        <v>140</v>
      </c>
    </row>
    <row r="444" spans="1:15" x14ac:dyDescent="0.3">
      <c r="A444">
        <v>443</v>
      </c>
      <c r="B444" t="s">
        <v>478</v>
      </c>
      <c r="C444">
        <v>29</v>
      </c>
      <c r="D444" t="s">
        <v>29</v>
      </c>
      <c r="E444" t="s">
        <v>30</v>
      </c>
      <c r="F444" t="s">
        <v>26</v>
      </c>
      <c r="G444" t="s">
        <v>19</v>
      </c>
      <c r="H444">
        <v>7</v>
      </c>
      <c r="I444">
        <v>55300</v>
      </c>
      <c r="J444" s="1">
        <v>45086</v>
      </c>
      <c r="K444" s="1">
        <v>45239</v>
      </c>
      <c r="L444">
        <v>315</v>
      </c>
      <c r="M444">
        <v>205</v>
      </c>
      <c r="N444" t="s">
        <v>20</v>
      </c>
      <c r="O444">
        <v>153</v>
      </c>
    </row>
    <row r="445" spans="1:15" x14ac:dyDescent="0.3">
      <c r="A445">
        <v>444</v>
      </c>
      <c r="B445" t="s">
        <v>479</v>
      </c>
      <c r="C445">
        <v>60</v>
      </c>
      <c r="D445" t="s">
        <v>29</v>
      </c>
      <c r="E445" t="s">
        <v>25</v>
      </c>
      <c r="F445" t="s">
        <v>31</v>
      </c>
      <c r="G445" t="s">
        <v>19</v>
      </c>
      <c r="H445">
        <v>5</v>
      </c>
      <c r="I445">
        <v>19000</v>
      </c>
      <c r="J445" s="1">
        <v>44915</v>
      </c>
      <c r="K445" s="1">
        <v>45386</v>
      </c>
      <c r="L445">
        <v>190</v>
      </c>
      <c r="M445">
        <v>58</v>
      </c>
      <c r="N445" t="s">
        <v>47</v>
      </c>
      <c r="O445">
        <v>471</v>
      </c>
    </row>
    <row r="446" spans="1:15" x14ac:dyDescent="0.3">
      <c r="A446">
        <v>445</v>
      </c>
      <c r="B446" t="s">
        <v>480</v>
      </c>
      <c r="C446">
        <v>56</v>
      </c>
      <c r="D446" t="s">
        <v>52</v>
      </c>
      <c r="E446" t="s">
        <v>30</v>
      </c>
      <c r="F446" t="s">
        <v>23</v>
      </c>
      <c r="G446" t="s">
        <v>19</v>
      </c>
      <c r="H446">
        <v>8</v>
      </c>
      <c r="I446">
        <v>62400</v>
      </c>
      <c r="J446" s="1">
        <v>45146</v>
      </c>
      <c r="K446" s="1">
        <v>45628</v>
      </c>
      <c r="L446">
        <v>1088</v>
      </c>
      <c r="M446">
        <v>-184</v>
      </c>
      <c r="N446" t="s">
        <v>47</v>
      </c>
      <c r="O446">
        <v>482</v>
      </c>
    </row>
    <row r="447" spans="1:15" x14ac:dyDescent="0.3">
      <c r="A447">
        <v>446</v>
      </c>
      <c r="B447" t="s">
        <v>481</v>
      </c>
      <c r="C447">
        <v>27</v>
      </c>
      <c r="D447" t="s">
        <v>38</v>
      </c>
      <c r="E447" t="s">
        <v>36</v>
      </c>
      <c r="F447" t="s">
        <v>23</v>
      </c>
      <c r="G447" t="s">
        <v>27</v>
      </c>
      <c r="H447">
        <v>1</v>
      </c>
      <c r="I447">
        <v>17500</v>
      </c>
      <c r="J447" s="1">
        <v>44710</v>
      </c>
      <c r="K447" s="1">
        <v>44737</v>
      </c>
      <c r="L447">
        <v>113</v>
      </c>
      <c r="M447">
        <v>707</v>
      </c>
      <c r="N447" t="s">
        <v>20</v>
      </c>
      <c r="O447">
        <v>27</v>
      </c>
    </row>
    <row r="448" spans="1:15" x14ac:dyDescent="0.3">
      <c r="A448">
        <v>447</v>
      </c>
      <c r="B448" t="s">
        <v>482</v>
      </c>
      <c r="C448">
        <v>64</v>
      </c>
      <c r="D448" t="s">
        <v>40</v>
      </c>
      <c r="E448" t="s">
        <v>30</v>
      </c>
      <c r="F448" t="s">
        <v>31</v>
      </c>
      <c r="G448" t="s">
        <v>19</v>
      </c>
      <c r="H448">
        <v>5</v>
      </c>
      <c r="I448">
        <v>21000</v>
      </c>
      <c r="J448" s="1">
        <v>44625</v>
      </c>
      <c r="K448" s="1">
        <v>44978</v>
      </c>
      <c r="L448">
        <v>240</v>
      </c>
      <c r="M448">
        <v>466</v>
      </c>
      <c r="N448" t="s">
        <v>20</v>
      </c>
      <c r="O448">
        <v>353</v>
      </c>
    </row>
    <row r="449" spans="1:15" x14ac:dyDescent="0.3">
      <c r="A449">
        <v>448</v>
      </c>
      <c r="B449" t="s">
        <v>483</v>
      </c>
      <c r="C449">
        <v>27</v>
      </c>
      <c r="D449" t="s">
        <v>40</v>
      </c>
      <c r="E449" t="s">
        <v>17</v>
      </c>
      <c r="F449" t="s">
        <v>18</v>
      </c>
      <c r="G449" t="s">
        <v>33</v>
      </c>
      <c r="H449">
        <v>10</v>
      </c>
      <c r="I449">
        <v>19000</v>
      </c>
      <c r="J449" s="1">
        <v>45137</v>
      </c>
      <c r="K449" s="1">
        <v>45579</v>
      </c>
      <c r="L449">
        <v>6040</v>
      </c>
      <c r="M449">
        <v>-135</v>
      </c>
      <c r="N449" t="s">
        <v>47</v>
      </c>
      <c r="O449">
        <v>442</v>
      </c>
    </row>
    <row r="450" spans="1:15" x14ac:dyDescent="0.3">
      <c r="A450">
        <v>449</v>
      </c>
      <c r="B450" t="s">
        <v>484</v>
      </c>
      <c r="C450">
        <v>45</v>
      </c>
      <c r="D450" t="s">
        <v>22</v>
      </c>
      <c r="E450" t="s">
        <v>25</v>
      </c>
      <c r="F450" t="s">
        <v>18</v>
      </c>
      <c r="G450" t="s">
        <v>19</v>
      </c>
      <c r="H450">
        <v>7</v>
      </c>
      <c r="I450">
        <v>18900</v>
      </c>
      <c r="J450" s="1">
        <v>44882</v>
      </c>
      <c r="K450" s="1">
        <v>45376</v>
      </c>
      <c r="L450">
        <v>4375</v>
      </c>
      <c r="M450">
        <v>68</v>
      </c>
      <c r="N450" t="s">
        <v>47</v>
      </c>
      <c r="O450">
        <v>494</v>
      </c>
    </row>
    <row r="451" spans="1:15" x14ac:dyDescent="0.3">
      <c r="A451">
        <v>450</v>
      </c>
      <c r="B451" t="s">
        <v>485</v>
      </c>
      <c r="C451">
        <v>60</v>
      </c>
      <c r="D451" t="s">
        <v>63</v>
      </c>
      <c r="E451" t="s">
        <v>17</v>
      </c>
      <c r="F451" t="s">
        <v>18</v>
      </c>
      <c r="G451" t="s">
        <v>19</v>
      </c>
      <c r="H451">
        <v>8</v>
      </c>
      <c r="I451">
        <v>8000</v>
      </c>
      <c r="J451" s="1">
        <v>44938</v>
      </c>
      <c r="K451" s="1">
        <v>45324</v>
      </c>
      <c r="L451">
        <v>5016</v>
      </c>
      <c r="M451">
        <v>120</v>
      </c>
      <c r="N451" t="s">
        <v>47</v>
      </c>
      <c r="O451">
        <v>386</v>
      </c>
    </row>
    <row r="452" spans="1:15" x14ac:dyDescent="0.3">
      <c r="A452">
        <v>451</v>
      </c>
      <c r="B452" t="s">
        <v>486</v>
      </c>
      <c r="C452">
        <v>32</v>
      </c>
      <c r="D452" t="s">
        <v>40</v>
      </c>
      <c r="E452" t="s">
        <v>25</v>
      </c>
      <c r="F452" t="s">
        <v>18</v>
      </c>
      <c r="G452" t="s">
        <v>33</v>
      </c>
      <c r="H452">
        <v>2</v>
      </c>
      <c r="I452">
        <v>3600</v>
      </c>
      <c r="J452" s="1">
        <v>44739</v>
      </c>
      <c r="K452" s="1">
        <v>45115</v>
      </c>
      <c r="L452">
        <v>1244</v>
      </c>
      <c r="M452">
        <v>329</v>
      </c>
      <c r="N452" t="s">
        <v>20</v>
      </c>
      <c r="O452">
        <v>376</v>
      </c>
    </row>
    <row r="453" spans="1:15" x14ac:dyDescent="0.3">
      <c r="A453">
        <v>452</v>
      </c>
      <c r="B453" t="s">
        <v>487</v>
      </c>
      <c r="C453">
        <v>38</v>
      </c>
      <c r="D453" t="s">
        <v>16</v>
      </c>
      <c r="E453" t="s">
        <v>36</v>
      </c>
      <c r="F453" t="s">
        <v>23</v>
      </c>
      <c r="G453" t="s">
        <v>33</v>
      </c>
      <c r="H453">
        <v>9</v>
      </c>
      <c r="I453">
        <v>123300</v>
      </c>
      <c r="J453" s="1">
        <v>44695</v>
      </c>
      <c r="K453" s="1">
        <v>44777</v>
      </c>
      <c r="L453">
        <v>1323</v>
      </c>
      <c r="M453">
        <v>667</v>
      </c>
      <c r="N453" t="s">
        <v>20</v>
      </c>
      <c r="O453">
        <v>82</v>
      </c>
    </row>
    <row r="454" spans="1:15" x14ac:dyDescent="0.3">
      <c r="A454">
        <v>453</v>
      </c>
      <c r="B454" t="s">
        <v>488</v>
      </c>
      <c r="C454">
        <v>30</v>
      </c>
      <c r="D454" t="s">
        <v>38</v>
      </c>
      <c r="E454" t="s">
        <v>17</v>
      </c>
      <c r="F454" t="s">
        <v>18</v>
      </c>
      <c r="G454" t="s">
        <v>33</v>
      </c>
      <c r="H454">
        <v>1</v>
      </c>
      <c r="I454">
        <v>800</v>
      </c>
      <c r="J454" s="1">
        <v>44892</v>
      </c>
      <c r="K454" s="1">
        <v>45197</v>
      </c>
      <c r="L454">
        <v>593</v>
      </c>
      <c r="M454">
        <v>247</v>
      </c>
      <c r="N454" t="s">
        <v>20</v>
      </c>
      <c r="O454">
        <v>305</v>
      </c>
    </row>
    <row r="455" spans="1:15" x14ac:dyDescent="0.3">
      <c r="A455">
        <v>454</v>
      </c>
      <c r="B455" t="s">
        <v>489</v>
      </c>
      <c r="C455">
        <v>41</v>
      </c>
      <c r="D455" t="s">
        <v>38</v>
      </c>
      <c r="E455" t="s">
        <v>36</v>
      </c>
      <c r="F455" t="s">
        <v>18</v>
      </c>
      <c r="G455" t="s">
        <v>19</v>
      </c>
      <c r="H455">
        <v>9</v>
      </c>
      <c r="I455">
        <v>109800</v>
      </c>
      <c r="J455" s="1">
        <v>44750</v>
      </c>
      <c r="K455" s="1">
        <v>45016</v>
      </c>
      <c r="L455">
        <v>5346</v>
      </c>
      <c r="M455">
        <v>428</v>
      </c>
      <c r="N455" t="s">
        <v>20</v>
      </c>
      <c r="O455">
        <v>266</v>
      </c>
    </row>
    <row r="456" spans="1:15" x14ac:dyDescent="0.3">
      <c r="A456">
        <v>455</v>
      </c>
      <c r="B456" t="s">
        <v>490</v>
      </c>
      <c r="C456">
        <v>43</v>
      </c>
      <c r="D456" t="s">
        <v>52</v>
      </c>
      <c r="E456" t="s">
        <v>36</v>
      </c>
      <c r="F456" t="s">
        <v>26</v>
      </c>
      <c r="G456" t="s">
        <v>19</v>
      </c>
      <c r="H456">
        <v>4</v>
      </c>
      <c r="I456">
        <v>48000</v>
      </c>
      <c r="J456" s="1">
        <v>44901</v>
      </c>
      <c r="K456" s="1">
        <v>45070</v>
      </c>
      <c r="L456">
        <v>132</v>
      </c>
      <c r="M456">
        <v>374</v>
      </c>
      <c r="N456" t="s">
        <v>20</v>
      </c>
      <c r="O456">
        <v>169</v>
      </c>
    </row>
    <row r="457" spans="1:15" x14ac:dyDescent="0.3">
      <c r="A457">
        <v>456</v>
      </c>
      <c r="B457" t="s">
        <v>491</v>
      </c>
      <c r="C457">
        <v>62</v>
      </c>
      <c r="D457" t="s">
        <v>38</v>
      </c>
      <c r="E457" t="s">
        <v>25</v>
      </c>
      <c r="F457" t="s">
        <v>26</v>
      </c>
      <c r="G457" t="s">
        <v>27</v>
      </c>
      <c r="H457">
        <v>1</v>
      </c>
      <c r="I457">
        <v>1500</v>
      </c>
      <c r="J457" s="1">
        <v>44916</v>
      </c>
      <c r="K457" s="1">
        <v>45144</v>
      </c>
      <c r="L457">
        <v>25</v>
      </c>
      <c r="M457">
        <v>300</v>
      </c>
      <c r="N457" t="s">
        <v>20</v>
      </c>
      <c r="O457">
        <v>228</v>
      </c>
    </row>
    <row r="458" spans="1:15" x14ac:dyDescent="0.3">
      <c r="A458">
        <v>457</v>
      </c>
      <c r="B458" t="s">
        <v>492</v>
      </c>
      <c r="C458">
        <v>28</v>
      </c>
      <c r="D458" t="s">
        <v>40</v>
      </c>
      <c r="E458" t="s">
        <v>17</v>
      </c>
      <c r="F458" t="s">
        <v>18</v>
      </c>
      <c r="G458" t="s">
        <v>33</v>
      </c>
      <c r="H458">
        <v>7</v>
      </c>
      <c r="I458">
        <v>7000</v>
      </c>
      <c r="J458" s="1">
        <v>45115</v>
      </c>
      <c r="K458" s="1">
        <v>45485</v>
      </c>
      <c r="L458">
        <v>4256</v>
      </c>
      <c r="M458">
        <v>-41</v>
      </c>
      <c r="N458" t="s">
        <v>47</v>
      </c>
      <c r="O458">
        <v>370</v>
      </c>
    </row>
    <row r="459" spans="1:15" x14ac:dyDescent="0.3">
      <c r="A459">
        <v>458</v>
      </c>
      <c r="B459" t="s">
        <v>493</v>
      </c>
      <c r="C459">
        <v>23</v>
      </c>
      <c r="D459" t="s">
        <v>63</v>
      </c>
      <c r="E459" t="s">
        <v>30</v>
      </c>
      <c r="F459" t="s">
        <v>26</v>
      </c>
      <c r="G459" t="s">
        <v>33</v>
      </c>
      <c r="H459">
        <v>5</v>
      </c>
      <c r="I459">
        <v>41500</v>
      </c>
      <c r="J459" s="1">
        <v>44759</v>
      </c>
      <c r="K459" s="1">
        <v>44923</v>
      </c>
      <c r="L459">
        <v>210</v>
      </c>
      <c r="M459">
        <v>521</v>
      </c>
      <c r="N459" t="s">
        <v>20</v>
      </c>
      <c r="O459">
        <v>164</v>
      </c>
    </row>
    <row r="460" spans="1:15" x14ac:dyDescent="0.3">
      <c r="A460">
        <v>459</v>
      </c>
      <c r="B460" t="s">
        <v>494</v>
      </c>
      <c r="C460">
        <v>55</v>
      </c>
      <c r="D460" t="s">
        <v>16</v>
      </c>
      <c r="E460" t="s">
        <v>17</v>
      </c>
      <c r="F460" t="s">
        <v>31</v>
      </c>
      <c r="G460" t="s">
        <v>27</v>
      </c>
      <c r="H460">
        <v>1</v>
      </c>
      <c r="I460">
        <v>1800</v>
      </c>
      <c r="J460" s="1">
        <v>44629</v>
      </c>
      <c r="K460" s="1">
        <v>44736</v>
      </c>
      <c r="L460">
        <v>70</v>
      </c>
      <c r="M460">
        <v>708</v>
      </c>
      <c r="N460" t="s">
        <v>20</v>
      </c>
      <c r="O460">
        <v>107</v>
      </c>
    </row>
    <row r="461" spans="1:15" x14ac:dyDescent="0.3">
      <c r="A461">
        <v>460</v>
      </c>
      <c r="B461" t="s">
        <v>495</v>
      </c>
      <c r="C461">
        <v>55</v>
      </c>
      <c r="D461" t="s">
        <v>40</v>
      </c>
      <c r="E461" t="s">
        <v>36</v>
      </c>
      <c r="F461" t="s">
        <v>23</v>
      </c>
      <c r="G461" t="s">
        <v>19</v>
      </c>
      <c r="H461">
        <v>7</v>
      </c>
      <c r="I461">
        <v>51800</v>
      </c>
      <c r="J461" s="1">
        <v>44719</v>
      </c>
      <c r="K461" s="1">
        <v>44731</v>
      </c>
      <c r="L461">
        <v>973</v>
      </c>
      <c r="M461">
        <v>713</v>
      </c>
      <c r="N461" t="s">
        <v>20</v>
      </c>
      <c r="O461">
        <v>12</v>
      </c>
    </row>
    <row r="462" spans="1:15" x14ac:dyDescent="0.3">
      <c r="A462">
        <v>461</v>
      </c>
      <c r="B462" t="s">
        <v>496</v>
      </c>
      <c r="C462">
        <v>24</v>
      </c>
      <c r="D462" t="s">
        <v>29</v>
      </c>
      <c r="E462" t="s">
        <v>17</v>
      </c>
      <c r="F462" t="s">
        <v>23</v>
      </c>
      <c r="G462" t="s">
        <v>19</v>
      </c>
      <c r="H462">
        <v>3</v>
      </c>
      <c r="I462">
        <v>3000</v>
      </c>
      <c r="J462" s="1">
        <v>45133</v>
      </c>
      <c r="K462" s="1">
        <v>45169</v>
      </c>
      <c r="L462">
        <v>438</v>
      </c>
      <c r="M462">
        <v>275</v>
      </c>
      <c r="N462" t="s">
        <v>20</v>
      </c>
      <c r="O462">
        <v>36</v>
      </c>
    </row>
    <row r="463" spans="1:15" x14ac:dyDescent="0.3">
      <c r="A463">
        <v>462</v>
      </c>
      <c r="B463" t="s">
        <v>497</v>
      </c>
      <c r="C463">
        <v>49</v>
      </c>
      <c r="D463" t="s">
        <v>40</v>
      </c>
      <c r="E463" t="s">
        <v>30</v>
      </c>
      <c r="F463" t="s">
        <v>26</v>
      </c>
      <c r="G463" t="s">
        <v>33</v>
      </c>
      <c r="H463">
        <v>7</v>
      </c>
      <c r="I463">
        <v>45500</v>
      </c>
      <c r="J463" s="1">
        <v>44885</v>
      </c>
      <c r="K463" s="1">
        <v>44893</v>
      </c>
      <c r="L463">
        <v>238</v>
      </c>
      <c r="M463">
        <v>551</v>
      </c>
      <c r="N463" t="s">
        <v>20</v>
      </c>
      <c r="O463">
        <v>8</v>
      </c>
    </row>
    <row r="464" spans="1:15" x14ac:dyDescent="0.3">
      <c r="A464">
        <v>463</v>
      </c>
      <c r="B464" t="s">
        <v>498</v>
      </c>
      <c r="C464">
        <v>23</v>
      </c>
      <c r="D464" t="s">
        <v>16</v>
      </c>
      <c r="E464" t="s">
        <v>17</v>
      </c>
      <c r="F464" t="s">
        <v>23</v>
      </c>
      <c r="G464" t="s">
        <v>27</v>
      </c>
      <c r="H464">
        <v>2</v>
      </c>
      <c r="I464">
        <v>2400</v>
      </c>
      <c r="J464" s="1">
        <v>45076</v>
      </c>
      <c r="K464" s="1">
        <v>45130</v>
      </c>
      <c r="L464">
        <v>256</v>
      </c>
      <c r="M464">
        <v>314</v>
      </c>
      <c r="N464" t="s">
        <v>20</v>
      </c>
      <c r="O464">
        <v>54</v>
      </c>
    </row>
    <row r="465" spans="1:15" x14ac:dyDescent="0.3">
      <c r="A465">
        <v>464</v>
      </c>
      <c r="B465" t="s">
        <v>499</v>
      </c>
      <c r="C465">
        <v>45</v>
      </c>
      <c r="D465" t="s">
        <v>38</v>
      </c>
      <c r="E465" t="s">
        <v>17</v>
      </c>
      <c r="F465" t="s">
        <v>18</v>
      </c>
      <c r="G465" t="s">
        <v>33</v>
      </c>
      <c r="H465">
        <v>7</v>
      </c>
      <c r="I465">
        <v>13300</v>
      </c>
      <c r="J465" s="1">
        <v>44593</v>
      </c>
      <c r="K465" s="1">
        <v>44835</v>
      </c>
      <c r="L465">
        <v>4200</v>
      </c>
      <c r="M465">
        <v>609</v>
      </c>
      <c r="N465" t="s">
        <v>20</v>
      </c>
      <c r="O465">
        <v>242</v>
      </c>
    </row>
    <row r="466" spans="1:15" x14ac:dyDescent="0.3">
      <c r="A466">
        <v>465</v>
      </c>
      <c r="B466" t="s">
        <v>500</v>
      </c>
      <c r="C466">
        <v>39</v>
      </c>
      <c r="D466" t="s">
        <v>40</v>
      </c>
      <c r="E466" t="s">
        <v>25</v>
      </c>
      <c r="F466" t="s">
        <v>26</v>
      </c>
      <c r="G466" t="s">
        <v>27</v>
      </c>
      <c r="H466">
        <v>3</v>
      </c>
      <c r="I466">
        <v>6600</v>
      </c>
      <c r="J466" s="1">
        <v>44944</v>
      </c>
      <c r="K466" s="1">
        <v>45434</v>
      </c>
      <c r="L466">
        <v>30</v>
      </c>
      <c r="M466">
        <v>10</v>
      </c>
      <c r="N466" t="s">
        <v>47</v>
      </c>
      <c r="O466">
        <v>490</v>
      </c>
    </row>
    <row r="467" spans="1:15" x14ac:dyDescent="0.3">
      <c r="A467">
        <v>466</v>
      </c>
      <c r="B467" t="s">
        <v>501</v>
      </c>
      <c r="C467">
        <v>57</v>
      </c>
      <c r="D467" t="s">
        <v>52</v>
      </c>
      <c r="E467" t="s">
        <v>17</v>
      </c>
      <c r="F467" t="s">
        <v>23</v>
      </c>
      <c r="G467" t="s">
        <v>19</v>
      </c>
      <c r="H467">
        <v>10</v>
      </c>
      <c r="I467">
        <v>13000</v>
      </c>
      <c r="J467" s="1">
        <v>45112</v>
      </c>
      <c r="K467" s="1">
        <v>45392</v>
      </c>
      <c r="L467">
        <v>1150</v>
      </c>
      <c r="M467">
        <v>52</v>
      </c>
      <c r="N467" t="s">
        <v>47</v>
      </c>
      <c r="O467">
        <v>280</v>
      </c>
    </row>
    <row r="468" spans="1:15" x14ac:dyDescent="0.3">
      <c r="A468">
        <v>467</v>
      </c>
      <c r="B468" t="s">
        <v>502</v>
      </c>
      <c r="C468">
        <v>47</v>
      </c>
      <c r="D468" t="s">
        <v>38</v>
      </c>
      <c r="E468" t="s">
        <v>25</v>
      </c>
      <c r="F468" t="s">
        <v>18</v>
      </c>
      <c r="G468" t="s">
        <v>19</v>
      </c>
      <c r="H468">
        <v>9</v>
      </c>
      <c r="I468">
        <v>14400</v>
      </c>
      <c r="J468" s="1">
        <v>44726</v>
      </c>
      <c r="K468" s="1">
        <v>44820</v>
      </c>
      <c r="L468">
        <v>5436</v>
      </c>
      <c r="M468">
        <v>624</v>
      </c>
      <c r="N468" t="s">
        <v>20</v>
      </c>
      <c r="O468">
        <v>94</v>
      </c>
    </row>
    <row r="469" spans="1:15" x14ac:dyDescent="0.3">
      <c r="A469">
        <v>468</v>
      </c>
      <c r="B469" t="s">
        <v>503</v>
      </c>
      <c r="C469">
        <v>63</v>
      </c>
      <c r="D469" t="s">
        <v>38</v>
      </c>
      <c r="E469" t="s">
        <v>25</v>
      </c>
      <c r="F469" t="s">
        <v>23</v>
      </c>
      <c r="G469" t="s">
        <v>19</v>
      </c>
      <c r="H469">
        <v>10</v>
      </c>
      <c r="I469">
        <v>45000</v>
      </c>
      <c r="J469" s="1">
        <v>44617</v>
      </c>
      <c r="K469" s="1">
        <v>45052</v>
      </c>
      <c r="L469">
        <v>1450</v>
      </c>
      <c r="M469">
        <v>392</v>
      </c>
      <c r="N469" t="s">
        <v>20</v>
      </c>
      <c r="O469">
        <v>435</v>
      </c>
    </row>
    <row r="470" spans="1:15" x14ac:dyDescent="0.3">
      <c r="A470">
        <v>469</v>
      </c>
      <c r="B470" t="s">
        <v>504</v>
      </c>
      <c r="C470">
        <v>37</v>
      </c>
      <c r="D470" t="s">
        <v>46</v>
      </c>
      <c r="E470" t="s">
        <v>17</v>
      </c>
      <c r="F470" t="s">
        <v>18</v>
      </c>
      <c r="G470" t="s">
        <v>19</v>
      </c>
      <c r="H470">
        <v>2</v>
      </c>
      <c r="I470">
        <v>1800</v>
      </c>
      <c r="J470" s="1">
        <v>45156</v>
      </c>
      <c r="K470" s="1">
        <v>45405</v>
      </c>
      <c r="L470">
        <v>1222</v>
      </c>
      <c r="M470">
        <v>39</v>
      </c>
      <c r="N470" t="s">
        <v>47</v>
      </c>
      <c r="O470">
        <v>249</v>
      </c>
    </row>
    <row r="471" spans="1:15" x14ac:dyDescent="0.3">
      <c r="A471">
        <v>470</v>
      </c>
      <c r="B471" t="s">
        <v>505</v>
      </c>
      <c r="C471">
        <v>39</v>
      </c>
      <c r="D471" t="s">
        <v>29</v>
      </c>
      <c r="E471" t="s">
        <v>25</v>
      </c>
      <c r="F471" t="s">
        <v>31</v>
      </c>
      <c r="G471" t="s">
        <v>19</v>
      </c>
      <c r="H471">
        <v>10</v>
      </c>
      <c r="I471">
        <v>13000</v>
      </c>
      <c r="J471" s="1">
        <v>44760</v>
      </c>
      <c r="K471" s="1">
        <v>44922</v>
      </c>
      <c r="L471">
        <v>610</v>
      </c>
      <c r="M471">
        <v>522</v>
      </c>
      <c r="N471" t="s">
        <v>20</v>
      </c>
      <c r="O471">
        <v>162</v>
      </c>
    </row>
    <row r="472" spans="1:15" x14ac:dyDescent="0.3">
      <c r="A472">
        <v>471</v>
      </c>
      <c r="B472" t="s">
        <v>506</v>
      </c>
      <c r="C472">
        <v>30</v>
      </c>
      <c r="D472" t="s">
        <v>46</v>
      </c>
      <c r="E472" t="s">
        <v>30</v>
      </c>
      <c r="F472" t="s">
        <v>18</v>
      </c>
      <c r="G472" t="s">
        <v>27</v>
      </c>
      <c r="H472">
        <v>10</v>
      </c>
      <c r="I472">
        <v>76000</v>
      </c>
      <c r="J472" s="1">
        <v>44935</v>
      </c>
      <c r="K472" s="1">
        <v>45348</v>
      </c>
      <c r="L472">
        <v>6100</v>
      </c>
      <c r="M472">
        <v>96</v>
      </c>
      <c r="N472" t="s">
        <v>47</v>
      </c>
      <c r="O472">
        <v>413</v>
      </c>
    </row>
    <row r="473" spans="1:15" x14ac:dyDescent="0.3">
      <c r="A473">
        <v>472</v>
      </c>
      <c r="B473" t="s">
        <v>507</v>
      </c>
      <c r="C473">
        <v>36</v>
      </c>
      <c r="D473" t="s">
        <v>22</v>
      </c>
      <c r="E473" t="s">
        <v>25</v>
      </c>
      <c r="F473" t="s">
        <v>23</v>
      </c>
      <c r="G473" t="s">
        <v>19</v>
      </c>
      <c r="H473">
        <v>4</v>
      </c>
      <c r="I473">
        <v>15600</v>
      </c>
      <c r="J473" s="1">
        <v>45008</v>
      </c>
      <c r="K473" s="1">
        <v>45149</v>
      </c>
      <c r="L473">
        <v>532</v>
      </c>
      <c r="M473">
        <v>295</v>
      </c>
      <c r="N473" t="s">
        <v>20</v>
      </c>
      <c r="O473">
        <v>141</v>
      </c>
    </row>
    <row r="474" spans="1:15" x14ac:dyDescent="0.3">
      <c r="A474">
        <v>473</v>
      </c>
      <c r="B474" t="s">
        <v>508</v>
      </c>
      <c r="C474">
        <v>49</v>
      </c>
      <c r="D474" t="s">
        <v>52</v>
      </c>
      <c r="E474" t="s">
        <v>30</v>
      </c>
      <c r="F474" t="s">
        <v>26</v>
      </c>
      <c r="G474" t="s">
        <v>33</v>
      </c>
      <c r="H474">
        <v>6</v>
      </c>
      <c r="I474">
        <v>55800</v>
      </c>
      <c r="J474" s="1">
        <v>44874</v>
      </c>
      <c r="K474" s="1">
        <v>45123</v>
      </c>
      <c r="L474">
        <v>270</v>
      </c>
      <c r="M474">
        <v>321</v>
      </c>
      <c r="N474" t="s">
        <v>20</v>
      </c>
      <c r="O474">
        <v>249</v>
      </c>
    </row>
    <row r="475" spans="1:15" x14ac:dyDescent="0.3">
      <c r="A475">
        <v>474</v>
      </c>
      <c r="B475" t="s">
        <v>509</v>
      </c>
      <c r="C475">
        <v>29</v>
      </c>
      <c r="D475" t="s">
        <v>16</v>
      </c>
      <c r="E475" t="s">
        <v>25</v>
      </c>
      <c r="F475" t="s">
        <v>23</v>
      </c>
      <c r="G475" t="s">
        <v>19</v>
      </c>
      <c r="H475">
        <v>9</v>
      </c>
      <c r="I475">
        <v>16200</v>
      </c>
      <c r="J475" s="1">
        <v>44831</v>
      </c>
      <c r="K475" s="1">
        <v>45206</v>
      </c>
      <c r="L475">
        <v>1350</v>
      </c>
      <c r="M475">
        <v>238</v>
      </c>
      <c r="N475" t="s">
        <v>20</v>
      </c>
      <c r="O475">
        <v>375</v>
      </c>
    </row>
    <row r="476" spans="1:15" x14ac:dyDescent="0.3">
      <c r="A476">
        <v>475</v>
      </c>
      <c r="B476" t="s">
        <v>510</v>
      </c>
      <c r="C476">
        <v>61</v>
      </c>
      <c r="D476" t="s">
        <v>16</v>
      </c>
      <c r="E476" t="s">
        <v>17</v>
      </c>
      <c r="F476" t="s">
        <v>23</v>
      </c>
      <c r="G476" t="s">
        <v>27</v>
      </c>
      <c r="H476">
        <v>1</v>
      </c>
      <c r="I476">
        <v>1700</v>
      </c>
      <c r="J476" s="1">
        <v>45154</v>
      </c>
      <c r="K476" s="1">
        <v>45361</v>
      </c>
      <c r="L476">
        <v>147</v>
      </c>
      <c r="M476">
        <v>83</v>
      </c>
      <c r="N476" t="s">
        <v>47</v>
      </c>
      <c r="O476">
        <v>207</v>
      </c>
    </row>
    <row r="477" spans="1:15" x14ac:dyDescent="0.3">
      <c r="A477">
        <v>476</v>
      </c>
      <c r="B477" t="s">
        <v>511</v>
      </c>
      <c r="C477">
        <v>55</v>
      </c>
      <c r="D477" t="s">
        <v>40</v>
      </c>
      <c r="E477" t="s">
        <v>17</v>
      </c>
      <c r="F477" t="s">
        <v>18</v>
      </c>
      <c r="G477" t="s">
        <v>27</v>
      </c>
      <c r="H477">
        <v>8</v>
      </c>
      <c r="I477">
        <v>14400</v>
      </c>
      <c r="J477" s="1">
        <v>44714</v>
      </c>
      <c r="K477" s="1">
        <v>44901</v>
      </c>
      <c r="L477">
        <v>4920</v>
      </c>
      <c r="M477">
        <v>543</v>
      </c>
      <c r="N477" t="s">
        <v>20</v>
      </c>
      <c r="O477">
        <v>187</v>
      </c>
    </row>
    <row r="478" spans="1:15" x14ac:dyDescent="0.3">
      <c r="A478">
        <v>477</v>
      </c>
      <c r="B478" t="s">
        <v>512</v>
      </c>
      <c r="C478">
        <v>53</v>
      </c>
      <c r="D478" t="s">
        <v>40</v>
      </c>
      <c r="E478" t="s">
        <v>30</v>
      </c>
      <c r="F478" t="s">
        <v>31</v>
      </c>
      <c r="G478" t="s">
        <v>33</v>
      </c>
      <c r="H478">
        <v>9</v>
      </c>
      <c r="I478">
        <v>33300</v>
      </c>
      <c r="J478" s="1">
        <v>44968</v>
      </c>
      <c r="K478" s="1">
        <v>45154</v>
      </c>
      <c r="L478">
        <v>558</v>
      </c>
      <c r="M478">
        <v>290</v>
      </c>
      <c r="N478" t="s">
        <v>20</v>
      </c>
      <c r="O478">
        <v>186</v>
      </c>
    </row>
    <row r="479" spans="1:15" x14ac:dyDescent="0.3">
      <c r="A479">
        <v>478</v>
      </c>
      <c r="B479" t="s">
        <v>513</v>
      </c>
      <c r="C479">
        <v>29</v>
      </c>
      <c r="D479" t="s">
        <v>63</v>
      </c>
      <c r="E479" t="s">
        <v>25</v>
      </c>
      <c r="F479" t="s">
        <v>31</v>
      </c>
      <c r="G479" t="s">
        <v>27</v>
      </c>
      <c r="H479">
        <v>8</v>
      </c>
      <c r="I479">
        <v>13600</v>
      </c>
      <c r="J479" s="1">
        <v>44745</v>
      </c>
      <c r="K479" s="1">
        <v>45034</v>
      </c>
      <c r="L479">
        <v>528</v>
      </c>
      <c r="M479">
        <v>410</v>
      </c>
      <c r="N479" t="s">
        <v>20</v>
      </c>
      <c r="O479">
        <v>289</v>
      </c>
    </row>
    <row r="480" spans="1:15" x14ac:dyDescent="0.3">
      <c r="A480">
        <v>479</v>
      </c>
      <c r="B480" t="s">
        <v>514</v>
      </c>
      <c r="C480">
        <v>35</v>
      </c>
      <c r="D480" t="s">
        <v>52</v>
      </c>
      <c r="E480" t="s">
        <v>36</v>
      </c>
      <c r="F480" t="s">
        <v>18</v>
      </c>
      <c r="G480" t="s">
        <v>19</v>
      </c>
      <c r="H480">
        <v>8</v>
      </c>
      <c r="I480">
        <v>100800</v>
      </c>
      <c r="J480" s="1">
        <v>44626</v>
      </c>
      <c r="K480" s="1">
        <v>44761</v>
      </c>
      <c r="L480">
        <v>4904</v>
      </c>
      <c r="M480">
        <v>683</v>
      </c>
      <c r="N480" t="s">
        <v>20</v>
      </c>
      <c r="O480">
        <v>135</v>
      </c>
    </row>
    <row r="481" spans="1:15" x14ac:dyDescent="0.3">
      <c r="A481">
        <v>480</v>
      </c>
      <c r="B481" t="s">
        <v>515</v>
      </c>
      <c r="C481">
        <v>44</v>
      </c>
      <c r="D481" t="s">
        <v>40</v>
      </c>
      <c r="E481" t="s">
        <v>17</v>
      </c>
      <c r="F481" t="s">
        <v>31</v>
      </c>
      <c r="G481" t="s">
        <v>27</v>
      </c>
      <c r="H481">
        <v>7</v>
      </c>
      <c r="I481">
        <v>10500</v>
      </c>
      <c r="J481" s="1">
        <v>45027</v>
      </c>
      <c r="K481" s="1">
        <v>45478</v>
      </c>
      <c r="L481">
        <v>224</v>
      </c>
      <c r="M481">
        <v>-34</v>
      </c>
      <c r="N481" t="s">
        <v>47</v>
      </c>
      <c r="O481">
        <v>451</v>
      </c>
    </row>
    <row r="482" spans="1:15" x14ac:dyDescent="0.3">
      <c r="A482">
        <v>481</v>
      </c>
      <c r="B482" t="s">
        <v>516</v>
      </c>
      <c r="C482">
        <v>61</v>
      </c>
      <c r="D482" t="s">
        <v>63</v>
      </c>
      <c r="E482" t="s">
        <v>30</v>
      </c>
      <c r="F482" t="s">
        <v>23</v>
      </c>
      <c r="G482" t="s">
        <v>27</v>
      </c>
      <c r="H482">
        <v>5</v>
      </c>
      <c r="I482">
        <v>49000</v>
      </c>
      <c r="J482" s="1">
        <v>44831</v>
      </c>
      <c r="K482" s="1">
        <v>45127</v>
      </c>
      <c r="L482">
        <v>720</v>
      </c>
      <c r="M482">
        <v>317</v>
      </c>
      <c r="N482" t="s">
        <v>20</v>
      </c>
      <c r="O482">
        <v>296</v>
      </c>
    </row>
    <row r="483" spans="1:15" x14ac:dyDescent="0.3">
      <c r="A483">
        <v>482</v>
      </c>
      <c r="B483" t="s">
        <v>517</v>
      </c>
      <c r="C483">
        <v>58</v>
      </c>
      <c r="D483" t="s">
        <v>52</v>
      </c>
      <c r="E483" t="s">
        <v>36</v>
      </c>
      <c r="F483" t="s">
        <v>26</v>
      </c>
      <c r="G483" t="s">
        <v>19</v>
      </c>
      <c r="H483">
        <v>2</v>
      </c>
      <c r="I483">
        <v>43800</v>
      </c>
      <c r="J483" s="1">
        <v>44819</v>
      </c>
      <c r="K483" s="1">
        <v>45011</v>
      </c>
      <c r="L483">
        <v>48</v>
      </c>
      <c r="M483">
        <v>433</v>
      </c>
      <c r="N483" t="s">
        <v>20</v>
      </c>
      <c r="O483">
        <v>192</v>
      </c>
    </row>
    <row r="484" spans="1:15" x14ac:dyDescent="0.3">
      <c r="A484">
        <v>483</v>
      </c>
      <c r="B484" t="s">
        <v>518</v>
      </c>
      <c r="C484">
        <v>51</v>
      </c>
      <c r="D484" t="s">
        <v>22</v>
      </c>
      <c r="E484" t="s">
        <v>30</v>
      </c>
      <c r="F484" t="s">
        <v>18</v>
      </c>
      <c r="G484" t="s">
        <v>33</v>
      </c>
      <c r="H484">
        <v>10</v>
      </c>
      <c r="I484">
        <v>31000</v>
      </c>
      <c r="J484" s="1">
        <v>45075</v>
      </c>
      <c r="K484" s="1">
        <v>45526</v>
      </c>
      <c r="L484">
        <v>5980</v>
      </c>
      <c r="M484">
        <v>-82</v>
      </c>
      <c r="N484" t="s">
        <v>47</v>
      </c>
      <c r="O484">
        <v>451</v>
      </c>
    </row>
    <row r="485" spans="1:15" x14ac:dyDescent="0.3">
      <c r="A485">
        <v>484</v>
      </c>
      <c r="B485" t="s">
        <v>519</v>
      </c>
      <c r="C485">
        <v>53</v>
      </c>
      <c r="D485" t="s">
        <v>46</v>
      </c>
      <c r="E485" t="s">
        <v>25</v>
      </c>
      <c r="F485" t="s">
        <v>31</v>
      </c>
      <c r="G485" t="s">
        <v>19</v>
      </c>
      <c r="H485">
        <v>5</v>
      </c>
      <c r="I485">
        <v>9500</v>
      </c>
      <c r="J485" s="1">
        <v>44715</v>
      </c>
      <c r="K485" s="1">
        <v>44810</v>
      </c>
      <c r="L485">
        <v>200</v>
      </c>
      <c r="M485">
        <v>634</v>
      </c>
      <c r="N485" t="s">
        <v>20</v>
      </c>
      <c r="O485">
        <v>95</v>
      </c>
    </row>
    <row r="486" spans="1:15" x14ac:dyDescent="0.3">
      <c r="A486">
        <v>485</v>
      </c>
      <c r="B486" t="s">
        <v>520</v>
      </c>
      <c r="C486">
        <v>42</v>
      </c>
      <c r="D486" t="s">
        <v>29</v>
      </c>
      <c r="E486" t="s">
        <v>17</v>
      </c>
      <c r="F486" t="s">
        <v>31</v>
      </c>
      <c r="G486" t="s">
        <v>33</v>
      </c>
      <c r="H486">
        <v>2</v>
      </c>
      <c r="I486">
        <v>3000</v>
      </c>
      <c r="J486" s="1">
        <v>45052</v>
      </c>
      <c r="K486" s="1">
        <v>45297</v>
      </c>
      <c r="L486">
        <v>86</v>
      </c>
      <c r="M486">
        <v>147</v>
      </c>
      <c r="N486" t="s">
        <v>47</v>
      </c>
      <c r="O486">
        <v>245</v>
      </c>
    </row>
    <row r="487" spans="1:15" x14ac:dyDescent="0.3">
      <c r="A487">
        <v>486</v>
      </c>
      <c r="B487" t="s">
        <v>521</v>
      </c>
      <c r="C487">
        <v>23</v>
      </c>
      <c r="D487" t="s">
        <v>52</v>
      </c>
      <c r="E487" t="s">
        <v>36</v>
      </c>
      <c r="F487" t="s">
        <v>23</v>
      </c>
      <c r="G487" t="s">
        <v>19</v>
      </c>
      <c r="H487">
        <v>3</v>
      </c>
      <c r="I487">
        <v>71400</v>
      </c>
      <c r="J487" s="1">
        <v>44726</v>
      </c>
      <c r="K487" s="1">
        <v>44794</v>
      </c>
      <c r="L487">
        <v>450</v>
      </c>
      <c r="M487">
        <v>650</v>
      </c>
      <c r="N487" t="s">
        <v>20</v>
      </c>
      <c r="O487">
        <v>68</v>
      </c>
    </row>
    <row r="488" spans="1:15" x14ac:dyDescent="0.3">
      <c r="A488">
        <v>487</v>
      </c>
      <c r="B488" t="s">
        <v>522</v>
      </c>
      <c r="C488">
        <v>37</v>
      </c>
      <c r="D488" t="s">
        <v>63</v>
      </c>
      <c r="E488" t="s">
        <v>25</v>
      </c>
      <c r="F488" t="s">
        <v>23</v>
      </c>
      <c r="G488" t="s">
        <v>19</v>
      </c>
      <c r="H488">
        <v>3</v>
      </c>
      <c r="I488">
        <v>9300</v>
      </c>
      <c r="J488" s="1">
        <v>44977</v>
      </c>
      <c r="K488" s="1">
        <v>45283</v>
      </c>
      <c r="L488">
        <v>438</v>
      </c>
      <c r="M488">
        <v>161</v>
      </c>
      <c r="N488" t="s">
        <v>47</v>
      </c>
      <c r="O488">
        <v>306</v>
      </c>
    </row>
    <row r="489" spans="1:15" x14ac:dyDescent="0.3">
      <c r="A489">
        <v>488</v>
      </c>
      <c r="B489" t="s">
        <v>523</v>
      </c>
      <c r="C489">
        <v>49</v>
      </c>
      <c r="D489" t="s">
        <v>63</v>
      </c>
      <c r="E489" t="s">
        <v>30</v>
      </c>
      <c r="F489" t="s">
        <v>23</v>
      </c>
      <c r="G489" t="s">
        <v>19</v>
      </c>
      <c r="H489">
        <v>10</v>
      </c>
      <c r="I489">
        <v>69000</v>
      </c>
      <c r="J489" s="1">
        <v>45055</v>
      </c>
      <c r="K489" s="1">
        <v>45142</v>
      </c>
      <c r="L489">
        <v>1240</v>
      </c>
      <c r="M489">
        <v>302</v>
      </c>
      <c r="N489" t="s">
        <v>20</v>
      </c>
      <c r="O489">
        <v>87</v>
      </c>
    </row>
    <row r="490" spans="1:15" x14ac:dyDescent="0.3">
      <c r="A490">
        <v>489</v>
      </c>
      <c r="B490" t="s">
        <v>524</v>
      </c>
      <c r="C490">
        <v>63</v>
      </c>
      <c r="D490" t="s">
        <v>22</v>
      </c>
      <c r="E490" t="s">
        <v>25</v>
      </c>
      <c r="F490" t="s">
        <v>31</v>
      </c>
      <c r="G490" t="s">
        <v>27</v>
      </c>
      <c r="H490">
        <v>9</v>
      </c>
      <c r="I490">
        <v>18900</v>
      </c>
      <c r="J490" s="1">
        <v>44733</v>
      </c>
      <c r="K490" s="1">
        <v>45103</v>
      </c>
      <c r="L490">
        <v>459</v>
      </c>
      <c r="M490">
        <v>341</v>
      </c>
      <c r="N490" t="s">
        <v>20</v>
      </c>
      <c r="O490">
        <v>370</v>
      </c>
    </row>
    <row r="491" spans="1:15" x14ac:dyDescent="0.3">
      <c r="A491">
        <v>490</v>
      </c>
      <c r="B491" t="s">
        <v>525</v>
      </c>
      <c r="C491">
        <v>45</v>
      </c>
      <c r="D491" t="s">
        <v>46</v>
      </c>
      <c r="E491" t="s">
        <v>17</v>
      </c>
      <c r="F491" t="s">
        <v>31</v>
      </c>
      <c r="G491" t="s">
        <v>33</v>
      </c>
      <c r="H491">
        <v>3</v>
      </c>
      <c r="I491">
        <v>2100</v>
      </c>
      <c r="J491" s="1">
        <v>44578</v>
      </c>
      <c r="K491" s="1">
        <v>44681</v>
      </c>
      <c r="L491">
        <v>189</v>
      </c>
      <c r="M491">
        <v>763</v>
      </c>
      <c r="N491" t="s">
        <v>20</v>
      </c>
      <c r="O491">
        <v>103</v>
      </c>
    </row>
    <row r="492" spans="1:15" x14ac:dyDescent="0.3">
      <c r="A492">
        <v>491</v>
      </c>
      <c r="B492" t="s">
        <v>526</v>
      </c>
      <c r="C492">
        <v>51</v>
      </c>
      <c r="D492" t="s">
        <v>22</v>
      </c>
      <c r="E492" t="s">
        <v>25</v>
      </c>
      <c r="F492" t="s">
        <v>23</v>
      </c>
      <c r="G492" t="s">
        <v>19</v>
      </c>
      <c r="H492">
        <v>10</v>
      </c>
      <c r="I492">
        <v>35000</v>
      </c>
      <c r="J492" s="1">
        <v>44601</v>
      </c>
      <c r="K492" s="1">
        <v>45050</v>
      </c>
      <c r="L492">
        <v>1440</v>
      </c>
      <c r="M492">
        <v>394</v>
      </c>
      <c r="N492" t="s">
        <v>20</v>
      </c>
      <c r="O492">
        <v>449</v>
      </c>
    </row>
    <row r="493" spans="1:15" x14ac:dyDescent="0.3">
      <c r="A493">
        <v>492</v>
      </c>
      <c r="B493" t="s">
        <v>527</v>
      </c>
      <c r="C493">
        <v>59</v>
      </c>
      <c r="D493" t="s">
        <v>16</v>
      </c>
      <c r="E493" t="s">
        <v>17</v>
      </c>
      <c r="F493" t="s">
        <v>26</v>
      </c>
      <c r="G493" t="s">
        <v>19</v>
      </c>
      <c r="H493">
        <v>9</v>
      </c>
      <c r="I493">
        <v>4500</v>
      </c>
      <c r="J493" s="1">
        <v>45003</v>
      </c>
      <c r="K493" s="1">
        <v>45270</v>
      </c>
      <c r="L493">
        <v>324</v>
      </c>
      <c r="M493">
        <v>174</v>
      </c>
      <c r="N493" t="s">
        <v>47</v>
      </c>
      <c r="O493">
        <v>267</v>
      </c>
    </row>
    <row r="494" spans="1:15" x14ac:dyDescent="0.3">
      <c r="A494">
        <v>493</v>
      </c>
      <c r="B494" t="s">
        <v>528</v>
      </c>
      <c r="C494">
        <v>51</v>
      </c>
      <c r="D494" t="s">
        <v>29</v>
      </c>
      <c r="E494" t="s">
        <v>17</v>
      </c>
      <c r="F494" t="s">
        <v>26</v>
      </c>
      <c r="G494" t="s">
        <v>19</v>
      </c>
      <c r="H494">
        <v>7</v>
      </c>
      <c r="I494">
        <v>8400</v>
      </c>
      <c r="J494" s="1">
        <v>45151</v>
      </c>
      <c r="K494" s="1">
        <v>45201</v>
      </c>
      <c r="L494">
        <v>259</v>
      </c>
      <c r="M494">
        <v>243</v>
      </c>
      <c r="N494" t="s">
        <v>20</v>
      </c>
      <c r="O494">
        <v>50</v>
      </c>
    </row>
    <row r="495" spans="1:15" x14ac:dyDescent="0.3">
      <c r="A495">
        <v>494</v>
      </c>
      <c r="B495" t="s">
        <v>529</v>
      </c>
      <c r="C495">
        <v>26</v>
      </c>
      <c r="D495" t="s">
        <v>52</v>
      </c>
      <c r="E495" t="s">
        <v>30</v>
      </c>
      <c r="F495" t="s">
        <v>26</v>
      </c>
      <c r="G495" t="s">
        <v>19</v>
      </c>
      <c r="H495">
        <v>5</v>
      </c>
      <c r="I495">
        <v>39500</v>
      </c>
      <c r="J495" s="1">
        <v>45118</v>
      </c>
      <c r="K495" s="1">
        <v>45327</v>
      </c>
      <c r="L495">
        <v>130</v>
      </c>
      <c r="M495">
        <v>117</v>
      </c>
      <c r="N495" t="s">
        <v>47</v>
      </c>
      <c r="O495">
        <v>209</v>
      </c>
    </row>
    <row r="496" spans="1:15" x14ac:dyDescent="0.3">
      <c r="A496">
        <v>495</v>
      </c>
      <c r="B496" t="s">
        <v>530</v>
      </c>
      <c r="C496">
        <v>54</v>
      </c>
      <c r="D496" t="s">
        <v>40</v>
      </c>
      <c r="E496" t="s">
        <v>17</v>
      </c>
      <c r="F496" t="s">
        <v>23</v>
      </c>
      <c r="G496" t="s">
        <v>27</v>
      </c>
      <c r="H496">
        <v>2</v>
      </c>
      <c r="I496">
        <v>3200</v>
      </c>
      <c r="J496" s="1">
        <v>44569</v>
      </c>
      <c r="K496" s="1">
        <v>44761</v>
      </c>
      <c r="L496">
        <v>246</v>
      </c>
      <c r="M496">
        <v>683</v>
      </c>
      <c r="N496" t="s">
        <v>20</v>
      </c>
      <c r="O496">
        <v>192</v>
      </c>
    </row>
    <row r="497" spans="1:15" x14ac:dyDescent="0.3">
      <c r="A497">
        <v>496</v>
      </c>
      <c r="B497" t="s">
        <v>531</v>
      </c>
      <c r="C497">
        <v>30</v>
      </c>
      <c r="D497" t="s">
        <v>29</v>
      </c>
      <c r="E497" t="s">
        <v>36</v>
      </c>
      <c r="F497" t="s">
        <v>18</v>
      </c>
      <c r="G497" t="s">
        <v>19</v>
      </c>
      <c r="H497">
        <v>7</v>
      </c>
      <c r="I497">
        <v>169400</v>
      </c>
      <c r="J497" s="1">
        <v>44821</v>
      </c>
      <c r="K497" s="1">
        <v>44954</v>
      </c>
      <c r="L497">
        <v>4368</v>
      </c>
      <c r="M497">
        <v>490</v>
      </c>
      <c r="N497" t="s">
        <v>20</v>
      </c>
      <c r="O497">
        <v>133</v>
      </c>
    </row>
    <row r="498" spans="1:15" x14ac:dyDescent="0.3">
      <c r="A498">
        <v>497</v>
      </c>
      <c r="B498" t="s">
        <v>532</v>
      </c>
      <c r="C498">
        <v>34</v>
      </c>
      <c r="D498" t="s">
        <v>22</v>
      </c>
      <c r="E498" t="s">
        <v>30</v>
      </c>
      <c r="F498" t="s">
        <v>18</v>
      </c>
      <c r="G498" t="s">
        <v>33</v>
      </c>
      <c r="H498">
        <v>7</v>
      </c>
      <c r="I498">
        <v>52500</v>
      </c>
      <c r="J498" s="1">
        <v>45132</v>
      </c>
      <c r="K498" s="1">
        <v>45379</v>
      </c>
      <c r="L498">
        <v>4207</v>
      </c>
      <c r="M498">
        <v>65</v>
      </c>
      <c r="N498" t="s">
        <v>47</v>
      </c>
      <c r="O498">
        <v>247</v>
      </c>
    </row>
    <row r="499" spans="1:15" x14ac:dyDescent="0.3">
      <c r="A499">
        <v>498</v>
      </c>
      <c r="B499" t="s">
        <v>533</v>
      </c>
      <c r="C499">
        <v>57</v>
      </c>
      <c r="D499" t="s">
        <v>29</v>
      </c>
      <c r="E499" t="s">
        <v>36</v>
      </c>
      <c r="F499" t="s">
        <v>18</v>
      </c>
      <c r="G499" t="s">
        <v>19</v>
      </c>
      <c r="H499">
        <v>6</v>
      </c>
      <c r="I499">
        <v>108000</v>
      </c>
      <c r="J499" s="1">
        <v>44703</v>
      </c>
      <c r="K499" s="1">
        <v>45140</v>
      </c>
      <c r="L499">
        <v>3582</v>
      </c>
      <c r="M499">
        <v>304</v>
      </c>
      <c r="N499" t="s">
        <v>20</v>
      </c>
      <c r="O499">
        <v>437</v>
      </c>
    </row>
    <row r="500" spans="1:15" x14ac:dyDescent="0.3">
      <c r="A500">
        <v>499</v>
      </c>
      <c r="B500" t="s">
        <v>534</v>
      </c>
      <c r="C500">
        <v>34</v>
      </c>
      <c r="D500" t="s">
        <v>40</v>
      </c>
      <c r="E500" t="s">
        <v>36</v>
      </c>
      <c r="F500" t="s">
        <v>31</v>
      </c>
      <c r="G500" t="s">
        <v>19</v>
      </c>
      <c r="H500">
        <v>9</v>
      </c>
      <c r="I500">
        <v>162900</v>
      </c>
      <c r="J500" s="1">
        <v>44908</v>
      </c>
      <c r="K500" s="1">
        <v>45318</v>
      </c>
      <c r="L500">
        <v>585</v>
      </c>
      <c r="M500">
        <v>126</v>
      </c>
      <c r="N500" t="s">
        <v>47</v>
      </c>
      <c r="O500">
        <v>410</v>
      </c>
    </row>
    <row r="501" spans="1:15" x14ac:dyDescent="0.3">
      <c r="A501">
        <v>500</v>
      </c>
      <c r="B501" t="s">
        <v>535</v>
      </c>
      <c r="C501">
        <v>26</v>
      </c>
      <c r="D501" t="s">
        <v>63</v>
      </c>
      <c r="E501" t="s">
        <v>25</v>
      </c>
      <c r="F501" t="s">
        <v>26</v>
      </c>
      <c r="G501" t="s">
        <v>19</v>
      </c>
      <c r="H501">
        <v>3</v>
      </c>
      <c r="I501">
        <v>8700</v>
      </c>
      <c r="J501" s="1">
        <v>45007</v>
      </c>
      <c r="K501" s="1">
        <v>45052</v>
      </c>
      <c r="L501">
        <v>42</v>
      </c>
      <c r="M501">
        <v>392</v>
      </c>
      <c r="N501" t="s">
        <v>20</v>
      </c>
      <c r="O501">
        <v>45</v>
      </c>
    </row>
    <row r="502" spans="1:15" x14ac:dyDescent="0.3">
      <c r="A502">
        <v>501</v>
      </c>
      <c r="B502" t="s">
        <v>536</v>
      </c>
      <c r="C502">
        <v>59</v>
      </c>
      <c r="D502" t="s">
        <v>38</v>
      </c>
      <c r="E502" t="s">
        <v>25</v>
      </c>
      <c r="F502" t="s">
        <v>18</v>
      </c>
      <c r="G502" t="s">
        <v>19</v>
      </c>
      <c r="H502">
        <v>1</v>
      </c>
      <c r="I502">
        <v>4000</v>
      </c>
      <c r="J502" s="1">
        <v>44955</v>
      </c>
      <c r="K502" s="1">
        <v>45431</v>
      </c>
      <c r="L502">
        <v>615</v>
      </c>
      <c r="M502">
        <v>13</v>
      </c>
      <c r="N502" t="s">
        <v>47</v>
      </c>
      <c r="O502">
        <v>476</v>
      </c>
    </row>
    <row r="503" spans="1:15" x14ac:dyDescent="0.3">
      <c r="A503">
        <v>502</v>
      </c>
      <c r="B503" t="s">
        <v>537</v>
      </c>
      <c r="C503">
        <v>49</v>
      </c>
      <c r="D503" t="s">
        <v>38</v>
      </c>
      <c r="E503" t="s">
        <v>17</v>
      </c>
      <c r="F503" t="s">
        <v>31</v>
      </c>
      <c r="G503" t="s">
        <v>33</v>
      </c>
      <c r="H503">
        <v>1</v>
      </c>
      <c r="I503">
        <v>900</v>
      </c>
      <c r="J503" s="1">
        <v>45092</v>
      </c>
      <c r="K503" s="1">
        <v>45238</v>
      </c>
      <c r="L503">
        <v>42</v>
      </c>
      <c r="M503">
        <v>206</v>
      </c>
      <c r="N503" t="s">
        <v>20</v>
      </c>
      <c r="O503">
        <v>146</v>
      </c>
    </row>
    <row r="504" spans="1:15" x14ac:dyDescent="0.3">
      <c r="A504">
        <v>503</v>
      </c>
      <c r="B504" t="s">
        <v>538</v>
      </c>
      <c r="C504">
        <v>44</v>
      </c>
      <c r="D504" t="s">
        <v>63</v>
      </c>
      <c r="E504" t="s">
        <v>25</v>
      </c>
      <c r="F504" t="s">
        <v>31</v>
      </c>
      <c r="G504" t="s">
        <v>19</v>
      </c>
      <c r="H504">
        <v>4</v>
      </c>
      <c r="I504">
        <v>14800</v>
      </c>
      <c r="J504" s="1">
        <v>44562</v>
      </c>
      <c r="K504" s="1">
        <v>45061</v>
      </c>
      <c r="L504">
        <v>160</v>
      </c>
      <c r="M504">
        <v>383</v>
      </c>
      <c r="N504" t="s">
        <v>20</v>
      </c>
      <c r="O504">
        <v>499</v>
      </c>
    </row>
    <row r="505" spans="1:15" x14ac:dyDescent="0.3">
      <c r="A505">
        <v>504</v>
      </c>
      <c r="B505" t="s">
        <v>539</v>
      </c>
      <c r="C505">
        <v>63</v>
      </c>
      <c r="D505" t="s">
        <v>16</v>
      </c>
      <c r="E505" t="s">
        <v>30</v>
      </c>
      <c r="F505" t="s">
        <v>26</v>
      </c>
      <c r="G505" t="s">
        <v>19</v>
      </c>
      <c r="H505">
        <v>7</v>
      </c>
      <c r="I505">
        <v>44100</v>
      </c>
      <c r="J505" s="1">
        <v>45162</v>
      </c>
      <c r="K505" s="1">
        <v>45264</v>
      </c>
      <c r="L505">
        <v>301</v>
      </c>
      <c r="M505">
        <v>180</v>
      </c>
      <c r="N505" t="s">
        <v>47</v>
      </c>
      <c r="O505">
        <v>102</v>
      </c>
    </row>
    <row r="506" spans="1:15" x14ac:dyDescent="0.3">
      <c r="A506">
        <v>505</v>
      </c>
      <c r="B506" t="s">
        <v>540</v>
      </c>
      <c r="C506">
        <v>39</v>
      </c>
      <c r="D506" t="s">
        <v>63</v>
      </c>
      <c r="E506" t="s">
        <v>17</v>
      </c>
      <c r="F506" t="s">
        <v>23</v>
      </c>
      <c r="G506" t="s">
        <v>27</v>
      </c>
      <c r="H506">
        <v>9</v>
      </c>
      <c r="I506">
        <v>15300</v>
      </c>
      <c r="J506" s="1">
        <v>44918</v>
      </c>
      <c r="K506" s="1">
        <v>45095</v>
      </c>
      <c r="L506">
        <v>1143</v>
      </c>
      <c r="M506">
        <v>349</v>
      </c>
      <c r="N506" t="s">
        <v>20</v>
      </c>
      <c r="O506">
        <v>177</v>
      </c>
    </row>
    <row r="507" spans="1:15" x14ac:dyDescent="0.3">
      <c r="A507">
        <v>506</v>
      </c>
      <c r="B507" t="s">
        <v>541</v>
      </c>
      <c r="C507">
        <v>57</v>
      </c>
      <c r="D507" t="s">
        <v>40</v>
      </c>
      <c r="E507" t="s">
        <v>25</v>
      </c>
      <c r="F507" t="s">
        <v>26</v>
      </c>
      <c r="G507" t="s">
        <v>33</v>
      </c>
      <c r="H507">
        <v>1</v>
      </c>
      <c r="I507">
        <v>2100</v>
      </c>
      <c r="J507" s="1">
        <v>44741</v>
      </c>
      <c r="K507" s="1">
        <v>44949</v>
      </c>
      <c r="L507">
        <v>42</v>
      </c>
      <c r="M507">
        <v>495</v>
      </c>
      <c r="N507" t="s">
        <v>20</v>
      </c>
      <c r="O507">
        <v>208</v>
      </c>
    </row>
    <row r="508" spans="1:15" x14ac:dyDescent="0.3">
      <c r="A508">
        <v>507</v>
      </c>
      <c r="B508" t="s">
        <v>542</v>
      </c>
      <c r="C508">
        <v>28</v>
      </c>
      <c r="D508" t="s">
        <v>16</v>
      </c>
      <c r="E508" t="s">
        <v>17</v>
      </c>
      <c r="F508" t="s">
        <v>18</v>
      </c>
      <c r="G508" t="s">
        <v>19</v>
      </c>
      <c r="H508">
        <v>9</v>
      </c>
      <c r="I508">
        <v>9000</v>
      </c>
      <c r="J508" s="1">
        <v>45112</v>
      </c>
      <c r="K508" s="1">
        <v>45528</v>
      </c>
      <c r="L508">
        <v>5634</v>
      </c>
      <c r="M508">
        <v>-84</v>
      </c>
      <c r="N508" t="s">
        <v>47</v>
      </c>
      <c r="O508">
        <v>416</v>
      </c>
    </row>
    <row r="509" spans="1:15" x14ac:dyDescent="0.3">
      <c r="A509">
        <v>508</v>
      </c>
      <c r="B509" t="s">
        <v>543</v>
      </c>
      <c r="C509">
        <v>51</v>
      </c>
      <c r="D509" t="s">
        <v>38</v>
      </c>
      <c r="E509" t="s">
        <v>36</v>
      </c>
      <c r="F509" t="s">
        <v>26</v>
      </c>
      <c r="G509" t="s">
        <v>27</v>
      </c>
      <c r="H509">
        <v>4</v>
      </c>
      <c r="I509">
        <v>64400</v>
      </c>
      <c r="J509" s="1">
        <v>45031</v>
      </c>
      <c r="K509" s="1">
        <v>45379</v>
      </c>
      <c r="L509">
        <v>156</v>
      </c>
      <c r="M509">
        <v>65</v>
      </c>
      <c r="N509" t="s">
        <v>47</v>
      </c>
      <c r="O509">
        <v>348</v>
      </c>
    </row>
    <row r="510" spans="1:15" x14ac:dyDescent="0.3">
      <c r="A510">
        <v>509</v>
      </c>
      <c r="B510" t="s">
        <v>544</v>
      </c>
      <c r="C510">
        <v>25</v>
      </c>
      <c r="D510" t="s">
        <v>63</v>
      </c>
      <c r="E510" t="s">
        <v>36</v>
      </c>
      <c r="F510" t="s">
        <v>23</v>
      </c>
      <c r="G510" t="s">
        <v>19</v>
      </c>
      <c r="H510">
        <v>7</v>
      </c>
      <c r="I510">
        <v>85400</v>
      </c>
      <c r="J510" s="1">
        <v>44797</v>
      </c>
      <c r="K510" s="1">
        <v>45206</v>
      </c>
      <c r="L510">
        <v>910</v>
      </c>
      <c r="M510">
        <v>238</v>
      </c>
      <c r="N510" t="s">
        <v>20</v>
      </c>
      <c r="O510">
        <v>409</v>
      </c>
    </row>
    <row r="511" spans="1:15" x14ac:dyDescent="0.3">
      <c r="A511">
        <v>510</v>
      </c>
      <c r="B511" t="s">
        <v>545</v>
      </c>
      <c r="C511">
        <v>36</v>
      </c>
      <c r="D511" t="s">
        <v>22</v>
      </c>
      <c r="E511" t="s">
        <v>30</v>
      </c>
      <c r="F511" t="s">
        <v>23</v>
      </c>
      <c r="G511" t="s">
        <v>19</v>
      </c>
      <c r="H511">
        <v>5</v>
      </c>
      <c r="I511">
        <v>19000</v>
      </c>
      <c r="J511" s="1">
        <v>44970</v>
      </c>
      <c r="K511" s="1">
        <v>45314</v>
      </c>
      <c r="L511">
        <v>655</v>
      </c>
      <c r="M511">
        <v>130</v>
      </c>
      <c r="N511" t="s">
        <v>47</v>
      </c>
      <c r="O511">
        <v>344</v>
      </c>
    </row>
    <row r="512" spans="1:15" x14ac:dyDescent="0.3">
      <c r="A512">
        <v>511</v>
      </c>
      <c r="B512" t="s">
        <v>546</v>
      </c>
      <c r="C512">
        <v>43</v>
      </c>
      <c r="D512" t="s">
        <v>16</v>
      </c>
      <c r="E512" t="s">
        <v>25</v>
      </c>
      <c r="F512" t="s">
        <v>26</v>
      </c>
      <c r="G512" t="s">
        <v>19</v>
      </c>
      <c r="H512">
        <v>4</v>
      </c>
      <c r="I512">
        <v>18800</v>
      </c>
      <c r="J512" s="1">
        <v>45149</v>
      </c>
      <c r="K512" s="1">
        <v>45286</v>
      </c>
      <c r="L512">
        <v>84</v>
      </c>
      <c r="M512">
        <v>158</v>
      </c>
      <c r="N512" t="s">
        <v>47</v>
      </c>
      <c r="O512">
        <v>137</v>
      </c>
    </row>
    <row r="513" spans="1:15" x14ac:dyDescent="0.3">
      <c r="A513">
        <v>512</v>
      </c>
      <c r="B513" t="s">
        <v>547</v>
      </c>
      <c r="C513">
        <v>36</v>
      </c>
      <c r="D513" t="s">
        <v>40</v>
      </c>
      <c r="E513" t="s">
        <v>36</v>
      </c>
      <c r="F513" t="s">
        <v>31</v>
      </c>
      <c r="G513" t="s">
        <v>19</v>
      </c>
      <c r="H513">
        <v>5</v>
      </c>
      <c r="I513">
        <v>59000</v>
      </c>
      <c r="J513" s="1">
        <v>44796</v>
      </c>
      <c r="K513" s="1">
        <v>44899</v>
      </c>
      <c r="L513">
        <v>225</v>
      </c>
      <c r="M513">
        <v>545</v>
      </c>
      <c r="N513" t="s">
        <v>20</v>
      </c>
      <c r="O513">
        <v>103</v>
      </c>
    </row>
    <row r="514" spans="1:15" x14ac:dyDescent="0.3">
      <c r="A514">
        <v>513</v>
      </c>
      <c r="B514" t="s">
        <v>548</v>
      </c>
      <c r="C514">
        <v>26</v>
      </c>
      <c r="D514" t="s">
        <v>29</v>
      </c>
      <c r="E514" t="s">
        <v>25</v>
      </c>
      <c r="F514" t="s">
        <v>23</v>
      </c>
      <c r="G514" t="s">
        <v>19</v>
      </c>
      <c r="H514">
        <v>8</v>
      </c>
      <c r="I514">
        <v>28000</v>
      </c>
      <c r="J514" s="1">
        <v>44568</v>
      </c>
      <c r="K514" s="1">
        <v>44959</v>
      </c>
      <c r="L514">
        <v>1152</v>
      </c>
      <c r="M514">
        <v>485</v>
      </c>
      <c r="N514" t="s">
        <v>20</v>
      </c>
      <c r="O514">
        <v>391</v>
      </c>
    </row>
    <row r="515" spans="1:15" x14ac:dyDescent="0.3">
      <c r="A515">
        <v>514</v>
      </c>
      <c r="B515" t="s">
        <v>549</v>
      </c>
      <c r="C515">
        <v>41</v>
      </c>
      <c r="D515" t="s">
        <v>63</v>
      </c>
      <c r="E515" t="s">
        <v>36</v>
      </c>
      <c r="F515" t="s">
        <v>18</v>
      </c>
      <c r="G515" t="s">
        <v>27</v>
      </c>
      <c r="H515">
        <v>8</v>
      </c>
      <c r="I515">
        <v>190400</v>
      </c>
      <c r="J515" s="1">
        <v>44843</v>
      </c>
      <c r="K515" s="1">
        <v>45094</v>
      </c>
      <c r="L515">
        <v>4808</v>
      </c>
      <c r="M515">
        <v>350</v>
      </c>
      <c r="N515" t="s">
        <v>20</v>
      </c>
      <c r="O515">
        <v>251</v>
      </c>
    </row>
    <row r="516" spans="1:15" x14ac:dyDescent="0.3">
      <c r="A516">
        <v>515</v>
      </c>
      <c r="B516" t="s">
        <v>550</v>
      </c>
      <c r="C516">
        <v>29</v>
      </c>
      <c r="D516" t="s">
        <v>38</v>
      </c>
      <c r="E516" t="s">
        <v>36</v>
      </c>
      <c r="F516" t="s">
        <v>31</v>
      </c>
      <c r="G516" t="s">
        <v>27</v>
      </c>
      <c r="H516">
        <v>1</v>
      </c>
      <c r="I516">
        <v>22200</v>
      </c>
      <c r="J516" s="1">
        <v>44995</v>
      </c>
      <c r="K516" s="1">
        <v>45239</v>
      </c>
      <c r="L516">
        <v>64</v>
      </c>
      <c r="M516">
        <v>205</v>
      </c>
      <c r="N516" t="s">
        <v>20</v>
      </c>
      <c r="O516">
        <v>244</v>
      </c>
    </row>
    <row r="517" spans="1:15" x14ac:dyDescent="0.3">
      <c r="A517">
        <v>516</v>
      </c>
      <c r="B517" t="s">
        <v>551</v>
      </c>
      <c r="C517">
        <v>50</v>
      </c>
      <c r="D517" t="s">
        <v>63</v>
      </c>
      <c r="E517" t="s">
        <v>30</v>
      </c>
      <c r="F517" t="s">
        <v>26</v>
      </c>
      <c r="G517" t="s">
        <v>19</v>
      </c>
      <c r="H517">
        <v>2</v>
      </c>
      <c r="I517">
        <v>17400</v>
      </c>
      <c r="J517" s="1">
        <v>45092</v>
      </c>
      <c r="K517" s="1">
        <v>45327</v>
      </c>
      <c r="L517">
        <v>60</v>
      </c>
      <c r="M517">
        <v>117</v>
      </c>
      <c r="N517" t="s">
        <v>47</v>
      </c>
      <c r="O517">
        <v>235</v>
      </c>
    </row>
    <row r="518" spans="1:15" x14ac:dyDescent="0.3">
      <c r="A518">
        <v>517</v>
      </c>
      <c r="B518" t="s">
        <v>552</v>
      </c>
      <c r="C518">
        <v>58</v>
      </c>
      <c r="D518" t="s">
        <v>63</v>
      </c>
      <c r="E518" t="s">
        <v>17</v>
      </c>
      <c r="F518" t="s">
        <v>31</v>
      </c>
      <c r="G518" t="s">
        <v>33</v>
      </c>
      <c r="H518">
        <v>2</v>
      </c>
      <c r="I518">
        <v>2400</v>
      </c>
      <c r="J518" s="1">
        <v>44932</v>
      </c>
      <c r="K518" s="1">
        <v>45245</v>
      </c>
      <c r="L518">
        <v>92</v>
      </c>
      <c r="M518">
        <v>199</v>
      </c>
      <c r="N518" t="s">
        <v>20</v>
      </c>
      <c r="O518">
        <v>313</v>
      </c>
    </row>
    <row r="519" spans="1:15" x14ac:dyDescent="0.3">
      <c r="A519">
        <v>518</v>
      </c>
      <c r="B519" t="s">
        <v>553</v>
      </c>
      <c r="C519">
        <v>51</v>
      </c>
      <c r="D519" t="s">
        <v>52</v>
      </c>
      <c r="E519" t="s">
        <v>30</v>
      </c>
      <c r="F519" t="s">
        <v>31</v>
      </c>
      <c r="G519" t="s">
        <v>19</v>
      </c>
      <c r="H519">
        <v>10</v>
      </c>
      <c r="I519">
        <v>58000</v>
      </c>
      <c r="J519" s="1">
        <v>44936</v>
      </c>
      <c r="K519" s="1">
        <v>45030</v>
      </c>
      <c r="L519">
        <v>610</v>
      </c>
      <c r="M519">
        <v>414</v>
      </c>
      <c r="N519" t="s">
        <v>20</v>
      </c>
      <c r="O519">
        <v>94</v>
      </c>
    </row>
    <row r="520" spans="1:15" x14ac:dyDescent="0.3">
      <c r="A520">
        <v>519</v>
      </c>
      <c r="B520" t="s">
        <v>554</v>
      </c>
      <c r="C520">
        <v>44</v>
      </c>
      <c r="D520" t="s">
        <v>22</v>
      </c>
      <c r="E520" t="s">
        <v>25</v>
      </c>
      <c r="F520" t="s">
        <v>26</v>
      </c>
      <c r="G520" t="s">
        <v>19</v>
      </c>
      <c r="H520">
        <v>7</v>
      </c>
      <c r="I520">
        <v>14700</v>
      </c>
      <c r="J520" s="1">
        <v>45023</v>
      </c>
      <c r="K520" s="1">
        <v>45115</v>
      </c>
      <c r="L520">
        <v>322</v>
      </c>
      <c r="M520">
        <v>329</v>
      </c>
      <c r="N520" t="s">
        <v>20</v>
      </c>
      <c r="O520">
        <v>92</v>
      </c>
    </row>
    <row r="521" spans="1:15" x14ac:dyDescent="0.3">
      <c r="A521">
        <v>520</v>
      </c>
      <c r="B521" t="s">
        <v>555</v>
      </c>
      <c r="C521">
        <v>36</v>
      </c>
      <c r="D521" t="s">
        <v>52</v>
      </c>
      <c r="E521" t="s">
        <v>25</v>
      </c>
      <c r="F521" t="s">
        <v>23</v>
      </c>
      <c r="G521" t="s">
        <v>19</v>
      </c>
      <c r="H521">
        <v>9</v>
      </c>
      <c r="I521">
        <v>25200</v>
      </c>
      <c r="J521" s="1">
        <v>44952</v>
      </c>
      <c r="K521" s="1">
        <v>45052</v>
      </c>
      <c r="L521">
        <v>1071</v>
      </c>
      <c r="M521">
        <v>392</v>
      </c>
      <c r="N521" t="s">
        <v>20</v>
      </c>
      <c r="O521">
        <v>100</v>
      </c>
    </row>
    <row r="522" spans="1:15" x14ac:dyDescent="0.3">
      <c r="A522">
        <v>521</v>
      </c>
      <c r="B522" t="s">
        <v>556</v>
      </c>
      <c r="C522">
        <v>47</v>
      </c>
      <c r="D522" t="s">
        <v>52</v>
      </c>
      <c r="E522" t="s">
        <v>36</v>
      </c>
      <c r="F522" t="s">
        <v>23</v>
      </c>
      <c r="G522" t="s">
        <v>19</v>
      </c>
      <c r="H522">
        <v>8</v>
      </c>
      <c r="I522">
        <v>75200</v>
      </c>
      <c r="J522" s="1">
        <v>45091</v>
      </c>
      <c r="K522" s="1">
        <v>45364</v>
      </c>
      <c r="L522">
        <v>1040</v>
      </c>
      <c r="M522">
        <v>80</v>
      </c>
      <c r="N522" t="s">
        <v>47</v>
      </c>
      <c r="O522">
        <v>273</v>
      </c>
    </row>
    <row r="523" spans="1:15" x14ac:dyDescent="0.3">
      <c r="A523">
        <v>522</v>
      </c>
      <c r="B523" t="s">
        <v>557</v>
      </c>
      <c r="C523">
        <v>57</v>
      </c>
      <c r="D523" t="s">
        <v>46</v>
      </c>
      <c r="E523" t="s">
        <v>30</v>
      </c>
      <c r="F523" t="s">
        <v>18</v>
      </c>
      <c r="G523" t="s">
        <v>27</v>
      </c>
      <c r="H523">
        <v>1</v>
      </c>
      <c r="I523">
        <v>6300</v>
      </c>
      <c r="J523" s="1">
        <v>44663</v>
      </c>
      <c r="K523" s="1">
        <v>45016</v>
      </c>
      <c r="L523">
        <v>600</v>
      </c>
      <c r="M523">
        <v>428</v>
      </c>
      <c r="N523" t="s">
        <v>20</v>
      </c>
      <c r="O523">
        <v>353</v>
      </c>
    </row>
    <row r="524" spans="1:15" x14ac:dyDescent="0.3">
      <c r="A524">
        <v>523</v>
      </c>
      <c r="B524" t="s">
        <v>558</v>
      </c>
      <c r="C524">
        <v>61</v>
      </c>
      <c r="D524" t="s">
        <v>63</v>
      </c>
      <c r="E524" t="s">
        <v>25</v>
      </c>
      <c r="F524" t="s">
        <v>18</v>
      </c>
      <c r="G524" t="s">
        <v>33</v>
      </c>
      <c r="H524">
        <v>2</v>
      </c>
      <c r="I524">
        <v>5600</v>
      </c>
      <c r="J524" s="1">
        <v>44904</v>
      </c>
      <c r="K524" s="1">
        <v>45037</v>
      </c>
      <c r="L524">
        <v>1226</v>
      </c>
      <c r="M524">
        <v>407</v>
      </c>
      <c r="N524" t="s">
        <v>20</v>
      </c>
      <c r="O524">
        <v>133</v>
      </c>
    </row>
    <row r="525" spans="1:15" x14ac:dyDescent="0.3">
      <c r="A525">
        <v>524</v>
      </c>
      <c r="B525" t="s">
        <v>559</v>
      </c>
      <c r="C525">
        <v>47</v>
      </c>
      <c r="D525" t="s">
        <v>29</v>
      </c>
      <c r="E525" t="s">
        <v>30</v>
      </c>
      <c r="F525" t="s">
        <v>18</v>
      </c>
      <c r="G525" t="s">
        <v>19</v>
      </c>
      <c r="H525">
        <v>2</v>
      </c>
      <c r="I525">
        <v>11800</v>
      </c>
      <c r="J525" s="1">
        <v>44765</v>
      </c>
      <c r="K525" s="1">
        <v>45060</v>
      </c>
      <c r="L525">
        <v>1252</v>
      </c>
      <c r="M525">
        <v>384</v>
      </c>
      <c r="N525" t="s">
        <v>20</v>
      </c>
      <c r="O525">
        <v>295</v>
      </c>
    </row>
    <row r="526" spans="1:15" x14ac:dyDescent="0.3">
      <c r="A526">
        <v>525</v>
      </c>
      <c r="B526" t="s">
        <v>560</v>
      </c>
      <c r="C526">
        <v>64</v>
      </c>
      <c r="D526" t="s">
        <v>52</v>
      </c>
      <c r="E526" t="s">
        <v>30</v>
      </c>
      <c r="F526" t="s">
        <v>18</v>
      </c>
      <c r="G526" t="s">
        <v>19</v>
      </c>
      <c r="H526">
        <v>9</v>
      </c>
      <c r="I526">
        <v>63000</v>
      </c>
      <c r="J526" s="1">
        <v>45019</v>
      </c>
      <c r="K526" s="1">
        <v>45474</v>
      </c>
      <c r="L526">
        <v>5355</v>
      </c>
      <c r="M526">
        <v>-30</v>
      </c>
      <c r="N526" t="s">
        <v>47</v>
      </c>
      <c r="O526">
        <v>455</v>
      </c>
    </row>
    <row r="527" spans="1:15" x14ac:dyDescent="0.3">
      <c r="A527">
        <v>526</v>
      </c>
      <c r="B527" t="s">
        <v>561</v>
      </c>
      <c r="C527">
        <v>31</v>
      </c>
      <c r="D527" t="s">
        <v>22</v>
      </c>
      <c r="E527" t="s">
        <v>30</v>
      </c>
      <c r="F527" t="s">
        <v>26</v>
      </c>
      <c r="G527" t="s">
        <v>19</v>
      </c>
      <c r="H527">
        <v>6</v>
      </c>
      <c r="I527">
        <v>39000</v>
      </c>
      <c r="J527" s="1">
        <v>45147</v>
      </c>
      <c r="K527" s="1">
        <v>45354</v>
      </c>
      <c r="L527">
        <v>84</v>
      </c>
      <c r="M527">
        <v>90</v>
      </c>
      <c r="N527" t="s">
        <v>47</v>
      </c>
      <c r="O527">
        <v>207</v>
      </c>
    </row>
    <row r="528" spans="1:15" x14ac:dyDescent="0.3">
      <c r="A528">
        <v>527</v>
      </c>
      <c r="B528" t="s">
        <v>562</v>
      </c>
      <c r="C528">
        <v>41</v>
      </c>
      <c r="D528" t="s">
        <v>16</v>
      </c>
      <c r="E528" t="s">
        <v>25</v>
      </c>
      <c r="F528" t="s">
        <v>18</v>
      </c>
      <c r="G528" t="s">
        <v>19</v>
      </c>
      <c r="H528">
        <v>6</v>
      </c>
      <c r="I528">
        <v>22200</v>
      </c>
      <c r="J528" s="1">
        <v>44860</v>
      </c>
      <c r="K528" s="1">
        <v>45223</v>
      </c>
      <c r="L528">
        <v>3642</v>
      </c>
      <c r="M528">
        <v>221</v>
      </c>
      <c r="N528" t="s">
        <v>20</v>
      </c>
      <c r="O528">
        <v>363</v>
      </c>
    </row>
    <row r="529" spans="1:15" x14ac:dyDescent="0.3">
      <c r="A529">
        <v>528</v>
      </c>
      <c r="B529" t="s">
        <v>563</v>
      </c>
      <c r="C529">
        <v>58</v>
      </c>
      <c r="D529" t="s">
        <v>22</v>
      </c>
      <c r="E529" t="s">
        <v>30</v>
      </c>
      <c r="F529" t="s">
        <v>26</v>
      </c>
      <c r="G529" t="s">
        <v>19</v>
      </c>
      <c r="H529">
        <v>9</v>
      </c>
      <c r="I529">
        <v>60300</v>
      </c>
      <c r="J529" s="1">
        <v>44985</v>
      </c>
      <c r="K529" s="1">
        <v>45070</v>
      </c>
      <c r="L529">
        <v>189</v>
      </c>
      <c r="M529">
        <v>374</v>
      </c>
      <c r="N529" t="s">
        <v>20</v>
      </c>
      <c r="O529">
        <v>85</v>
      </c>
    </row>
    <row r="530" spans="1:15" x14ac:dyDescent="0.3">
      <c r="A530">
        <v>529</v>
      </c>
      <c r="B530" t="s">
        <v>564</v>
      </c>
      <c r="C530">
        <v>65</v>
      </c>
      <c r="D530" t="s">
        <v>63</v>
      </c>
      <c r="E530" t="s">
        <v>25</v>
      </c>
      <c r="F530" t="s">
        <v>31</v>
      </c>
      <c r="G530" t="s">
        <v>19</v>
      </c>
      <c r="H530">
        <v>2</v>
      </c>
      <c r="I530">
        <v>3800</v>
      </c>
      <c r="J530" s="1">
        <v>44732</v>
      </c>
      <c r="K530" s="1">
        <v>44935</v>
      </c>
      <c r="L530">
        <v>72</v>
      </c>
      <c r="M530">
        <v>509</v>
      </c>
      <c r="N530" t="s">
        <v>20</v>
      </c>
      <c r="O530">
        <v>203</v>
      </c>
    </row>
    <row r="531" spans="1:15" x14ac:dyDescent="0.3">
      <c r="A531">
        <v>530</v>
      </c>
      <c r="B531" t="s">
        <v>565</v>
      </c>
      <c r="C531">
        <v>24</v>
      </c>
      <c r="D531" t="s">
        <v>16</v>
      </c>
      <c r="E531" t="s">
        <v>17</v>
      </c>
      <c r="F531" t="s">
        <v>26</v>
      </c>
      <c r="G531" t="s">
        <v>27</v>
      </c>
      <c r="H531">
        <v>1</v>
      </c>
      <c r="I531">
        <v>1300</v>
      </c>
      <c r="J531" s="1">
        <v>45098</v>
      </c>
      <c r="K531" s="1">
        <v>45489</v>
      </c>
      <c r="L531">
        <v>15</v>
      </c>
      <c r="M531">
        <v>-45</v>
      </c>
      <c r="N531" t="s">
        <v>47</v>
      </c>
      <c r="O531">
        <v>391</v>
      </c>
    </row>
    <row r="532" spans="1:15" x14ac:dyDescent="0.3">
      <c r="A532">
        <v>531</v>
      </c>
      <c r="B532" t="s">
        <v>566</v>
      </c>
      <c r="C532">
        <v>62</v>
      </c>
      <c r="D532" t="s">
        <v>16</v>
      </c>
      <c r="E532" t="s">
        <v>30</v>
      </c>
      <c r="F532" t="s">
        <v>31</v>
      </c>
      <c r="G532" t="s">
        <v>19</v>
      </c>
      <c r="H532">
        <v>7</v>
      </c>
      <c r="I532">
        <v>38500</v>
      </c>
      <c r="J532" s="1">
        <v>44796</v>
      </c>
      <c r="K532" s="1">
        <v>44922</v>
      </c>
      <c r="L532">
        <v>336</v>
      </c>
      <c r="M532">
        <v>522</v>
      </c>
      <c r="N532" t="s">
        <v>20</v>
      </c>
      <c r="O532">
        <v>126</v>
      </c>
    </row>
    <row r="533" spans="1:15" x14ac:dyDescent="0.3">
      <c r="A533">
        <v>532</v>
      </c>
      <c r="B533" t="s">
        <v>567</v>
      </c>
      <c r="C533">
        <v>31</v>
      </c>
      <c r="D533" t="s">
        <v>46</v>
      </c>
      <c r="E533" t="s">
        <v>25</v>
      </c>
      <c r="F533" t="s">
        <v>31</v>
      </c>
      <c r="G533" t="s">
        <v>27</v>
      </c>
      <c r="H533">
        <v>1</v>
      </c>
      <c r="I533">
        <v>1100</v>
      </c>
      <c r="J533" s="1">
        <v>44927</v>
      </c>
      <c r="K533" s="1">
        <v>45367</v>
      </c>
      <c r="L533">
        <v>50</v>
      </c>
      <c r="M533">
        <v>77</v>
      </c>
      <c r="N533" t="s">
        <v>47</v>
      </c>
      <c r="O533">
        <v>440</v>
      </c>
    </row>
    <row r="534" spans="1:15" x14ac:dyDescent="0.3">
      <c r="A534">
        <v>533</v>
      </c>
      <c r="B534" t="s">
        <v>568</v>
      </c>
      <c r="C534">
        <v>49</v>
      </c>
      <c r="D534" t="s">
        <v>46</v>
      </c>
      <c r="E534" t="s">
        <v>36</v>
      </c>
      <c r="F534" t="s">
        <v>18</v>
      </c>
      <c r="G534" t="s">
        <v>27</v>
      </c>
      <c r="H534">
        <v>3</v>
      </c>
      <c r="I534">
        <v>68100</v>
      </c>
      <c r="J534" s="1">
        <v>44743</v>
      </c>
      <c r="K534" s="1">
        <v>45045</v>
      </c>
      <c r="L534">
        <v>1884</v>
      </c>
      <c r="M534">
        <v>399</v>
      </c>
      <c r="N534" t="s">
        <v>20</v>
      </c>
      <c r="O534">
        <v>302</v>
      </c>
    </row>
    <row r="535" spans="1:15" x14ac:dyDescent="0.3">
      <c r="A535">
        <v>534</v>
      </c>
      <c r="B535" t="s">
        <v>569</v>
      </c>
      <c r="C535">
        <v>51</v>
      </c>
      <c r="D535" t="s">
        <v>46</v>
      </c>
      <c r="E535" t="s">
        <v>36</v>
      </c>
      <c r="F535" t="s">
        <v>18</v>
      </c>
      <c r="G535" t="s">
        <v>19</v>
      </c>
      <c r="H535">
        <v>9</v>
      </c>
      <c r="I535">
        <v>111600</v>
      </c>
      <c r="J535" s="1">
        <v>44653</v>
      </c>
      <c r="K535" s="1">
        <v>44879</v>
      </c>
      <c r="L535">
        <v>5481</v>
      </c>
      <c r="M535">
        <v>565</v>
      </c>
      <c r="N535" t="s">
        <v>20</v>
      </c>
      <c r="O535">
        <v>226</v>
      </c>
    </row>
    <row r="536" spans="1:15" x14ac:dyDescent="0.3">
      <c r="A536">
        <v>535</v>
      </c>
      <c r="B536" t="s">
        <v>570</v>
      </c>
      <c r="C536">
        <v>40</v>
      </c>
      <c r="D536" t="s">
        <v>29</v>
      </c>
      <c r="E536" t="s">
        <v>36</v>
      </c>
      <c r="F536" t="s">
        <v>18</v>
      </c>
      <c r="G536" t="s">
        <v>19</v>
      </c>
      <c r="H536">
        <v>1</v>
      </c>
      <c r="I536">
        <v>5000</v>
      </c>
      <c r="J536" s="1">
        <v>45097</v>
      </c>
      <c r="K536" s="1">
        <v>45514</v>
      </c>
      <c r="L536">
        <v>598</v>
      </c>
      <c r="M536">
        <v>-70</v>
      </c>
      <c r="N536" t="s">
        <v>47</v>
      </c>
      <c r="O536">
        <v>417</v>
      </c>
    </row>
    <row r="537" spans="1:15" x14ac:dyDescent="0.3">
      <c r="A537">
        <v>536</v>
      </c>
      <c r="B537" t="s">
        <v>571</v>
      </c>
      <c r="C537">
        <v>21</v>
      </c>
      <c r="D537" t="s">
        <v>29</v>
      </c>
      <c r="E537" t="s">
        <v>30</v>
      </c>
      <c r="F537" t="s">
        <v>26</v>
      </c>
      <c r="G537" t="s">
        <v>27</v>
      </c>
      <c r="H537">
        <v>8</v>
      </c>
      <c r="I537">
        <v>73600</v>
      </c>
      <c r="J537" s="1">
        <v>45050</v>
      </c>
      <c r="K537" s="1">
        <v>45203</v>
      </c>
      <c r="L537">
        <v>80</v>
      </c>
      <c r="M537">
        <v>241</v>
      </c>
      <c r="N537" t="s">
        <v>20</v>
      </c>
      <c r="O537">
        <v>153</v>
      </c>
    </row>
    <row r="538" spans="1:15" x14ac:dyDescent="0.3">
      <c r="A538">
        <v>537</v>
      </c>
      <c r="B538" t="s">
        <v>572</v>
      </c>
      <c r="C538">
        <v>56</v>
      </c>
      <c r="D538" t="s">
        <v>22</v>
      </c>
      <c r="E538" t="s">
        <v>30</v>
      </c>
      <c r="F538" t="s">
        <v>31</v>
      </c>
      <c r="G538" t="s">
        <v>19</v>
      </c>
      <c r="H538">
        <v>6</v>
      </c>
      <c r="I538">
        <v>27000</v>
      </c>
      <c r="J538" s="1">
        <v>44983</v>
      </c>
      <c r="K538" s="1">
        <v>45434</v>
      </c>
      <c r="L538">
        <v>390</v>
      </c>
      <c r="M538">
        <v>10</v>
      </c>
      <c r="N538" t="s">
        <v>47</v>
      </c>
      <c r="O538">
        <v>451</v>
      </c>
    </row>
    <row r="539" spans="1:15" x14ac:dyDescent="0.3">
      <c r="A539">
        <v>538</v>
      </c>
      <c r="B539" t="s">
        <v>573</v>
      </c>
      <c r="C539">
        <v>62</v>
      </c>
      <c r="D539" t="s">
        <v>22</v>
      </c>
      <c r="E539" t="s">
        <v>36</v>
      </c>
      <c r="F539" t="s">
        <v>31</v>
      </c>
      <c r="G539" t="s">
        <v>19</v>
      </c>
      <c r="H539">
        <v>7</v>
      </c>
      <c r="I539">
        <v>121800</v>
      </c>
      <c r="J539" s="1">
        <v>44787</v>
      </c>
      <c r="K539" s="1">
        <v>44921</v>
      </c>
      <c r="L539">
        <v>245</v>
      </c>
      <c r="M539">
        <v>523</v>
      </c>
      <c r="N539" t="s">
        <v>20</v>
      </c>
      <c r="O539">
        <v>134</v>
      </c>
    </row>
    <row r="540" spans="1:15" x14ac:dyDescent="0.3">
      <c r="A540">
        <v>539</v>
      </c>
      <c r="B540" t="s">
        <v>574</v>
      </c>
      <c r="C540">
        <v>62</v>
      </c>
      <c r="D540" t="s">
        <v>22</v>
      </c>
      <c r="E540" t="s">
        <v>25</v>
      </c>
      <c r="F540" t="s">
        <v>18</v>
      </c>
      <c r="G540" t="s">
        <v>19</v>
      </c>
      <c r="H540">
        <v>9</v>
      </c>
      <c r="I540">
        <v>38700</v>
      </c>
      <c r="J540" s="1">
        <v>44837</v>
      </c>
      <c r="K540" s="1">
        <v>45048</v>
      </c>
      <c r="L540">
        <v>5418</v>
      </c>
      <c r="M540">
        <v>396</v>
      </c>
      <c r="N540" t="s">
        <v>20</v>
      </c>
      <c r="O540">
        <v>211</v>
      </c>
    </row>
    <row r="541" spans="1:15" x14ac:dyDescent="0.3">
      <c r="A541">
        <v>540</v>
      </c>
      <c r="B541" t="s">
        <v>575</v>
      </c>
      <c r="C541">
        <v>28</v>
      </c>
      <c r="D541" t="s">
        <v>16</v>
      </c>
      <c r="E541" t="s">
        <v>25</v>
      </c>
      <c r="F541" t="s">
        <v>31</v>
      </c>
      <c r="G541" t="s">
        <v>19</v>
      </c>
      <c r="H541">
        <v>8</v>
      </c>
      <c r="I541">
        <v>28000</v>
      </c>
      <c r="J541" s="1">
        <v>45025</v>
      </c>
      <c r="K541" s="1">
        <v>45164</v>
      </c>
      <c r="L541">
        <v>552</v>
      </c>
      <c r="M541">
        <v>280</v>
      </c>
      <c r="N541" t="s">
        <v>20</v>
      </c>
      <c r="O541">
        <v>139</v>
      </c>
    </row>
    <row r="542" spans="1:15" x14ac:dyDescent="0.3">
      <c r="A542">
        <v>541</v>
      </c>
      <c r="B542" t="s">
        <v>576</v>
      </c>
      <c r="C542">
        <v>30</v>
      </c>
      <c r="D542" t="s">
        <v>46</v>
      </c>
      <c r="E542" t="s">
        <v>25</v>
      </c>
      <c r="F542" t="s">
        <v>18</v>
      </c>
      <c r="G542" t="s">
        <v>19</v>
      </c>
      <c r="H542">
        <v>1</v>
      </c>
      <c r="I542">
        <v>5000</v>
      </c>
      <c r="J542" s="1">
        <v>45109</v>
      </c>
      <c r="K542" s="1">
        <v>45120</v>
      </c>
      <c r="L542">
        <v>601</v>
      </c>
      <c r="M542">
        <v>324</v>
      </c>
      <c r="N542" t="s">
        <v>20</v>
      </c>
      <c r="O542">
        <v>11</v>
      </c>
    </row>
    <row r="543" spans="1:15" x14ac:dyDescent="0.3">
      <c r="A543">
        <v>542</v>
      </c>
      <c r="B543" t="s">
        <v>577</v>
      </c>
      <c r="C543">
        <v>49</v>
      </c>
      <c r="D543" t="s">
        <v>16</v>
      </c>
      <c r="E543" t="s">
        <v>30</v>
      </c>
      <c r="F543" t="s">
        <v>18</v>
      </c>
      <c r="G543" t="s">
        <v>19</v>
      </c>
      <c r="H543">
        <v>1</v>
      </c>
      <c r="I543">
        <v>4900</v>
      </c>
      <c r="J543" s="1">
        <v>44654</v>
      </c>
      <c r="K543" s="1">
        <v>44731</v>
      </c>
      <c r="L543">
        <v>590</v>
      </c>
      <c r="M543">
        <v>713</v>
      </c>
      <c r="N543" t="s">
        <v>20</v>
      </c>
      <c r="O543">
        <v>77</v>
      </c>
    </row>
    <row r="544" spans="1:15" x14ac:dyDescent="0.3">
      <c r="A544">
        <v>543</v>
      </c>
      <c r="B544" t="s">
        <v>578</v>
      </c>
      <c r="C544">
        <v>40</v>
      </c>
      <c r="D544" t="s">
        <v>46</v>
      </c>
      <c r="E544" t="s">
        <v>25</v>
      </c>
      <c r="F544" t="s">
        <v>18</v>
      </c>
      <c r="G544" t="s">
        <v>33</v>
      </c>
      <c r="H544">
        <v>8</v>
      </c>
      <c r="I544">
        <v>20000</v>
      </c>
      <c r="J544" s="1">
        <v>45036</v>
      </c>
      <c r="K544" s="1">
        <v>45392</v>
      </c>
      <c r="L544">
        <v>4736</v>
      </c>
      <c r="M544">
        <v>52</v>
      </c>
      <c r="N544" t="s">
        <v>47</v>
      </c>
      <c r="O544">
        <v>356</v>
      </c>
    </row>
    <row r="545" spans="1:15" x14ac:dyDescent="0.3">
      <c r="A545">
        <v>544</v>
      </c>
      <c r="B545" t="s">
        <v>579</v>
      </c>
      <c r="C545">
        <v>38</v>
      </c>
      <c r="D545" t="s">
        <v>29</v>
      </c>
      <c r="E545" t="s">
        <v>17</v>
      </c>
      <c r="F545" t="s">
        <v>31</v>
      </c>
      <c r="G545" t="s">
        <v>19</v>
      </c>
      <c r="H545">
        <v>7</v>
      </c>
      <c r="I545">
        <v>4200</v>
      </c>
      <c r="J545" s="1">
        <v>45118</v>
      </c>
      <c r="K545" s="1">
        <v>45358</v>
      </c>
      <c r="L545">
        <v>287</v>
      </c>
      <c r="M545">
        <v>86</v>
      </c>
      <c r="N545" t="s">
        <v>47</v>
      </c>
      <c r="O545">
        <v>240</v>
      </c>
    </row>
    <row r="546" spans="1:15" x14ac:dyDescent="0.3">
      <c r="A546">
        <v>545</v>
      </c>
      <c r="B546" t="s">
        <v>580</v>
      </c>
      <c r="C546">
        <v>28</v>
      </c>
      <c r="D546" t="s">
        <v>40</v>
      </c>
      <c r="E546" t="s">
        <v>30</v>
      </c>
      <c r="F546" t="s">
        <v>26</v>
      </c>
      <c r="G546" t="s">
        <v>19</v>
      </c>
      <c r="H546">
        <v>4</v>
      </c>
      <c r="I546">
        <v>24800</v>
      </c>
      <c r="J546" s="1">
        <v>45015</v>
      </c>
      <c r="K546" s="1">
        <v>45141</v>
      </c>
      <c r="L546">
        <v>48</v>
      </c>
      <c r="M546">
        <v>303</v>
      </c>
      <c r="N546" t="s">
        <v>20</v>
      </c>
      <c r="O546">
        <v>126</v>
      </c>
    </row>
    <row r="547" spans="1:15" x14ac:dyDescent="0.3">
      <c r="A547">
        <v>546</v>
      </c>
      <c r="B547" t="s">
        <v>581</v>
      </c>
      <c r="C547">
        <v>63</v>
      </c>
      <c r="D547" t="s">
        <v>40</v>
      </c>
      <c r="E547" t="s">
        <v>36</v>
      </c>
      <c r="F547" t="s">
        <v>23</v>
      </c>
      <c r="G547" t="s">
        <v>27</v>
      </c>
      <c r="H547">
        <v>4</v>
      </c>
      <c r="I547">
        <v>82000</v>
      </c>
      <c r="J547" s="1">
        <v>44960</v>
      </c>
      <c r="K547" s="1">
        <v>45308</v>
      </c>
      <c r="L547">
        <v>516</v>
      </c>
      <c r="M547">
        <v>136</v>
      </c>
      <c r="N547" t="s">
        <v>47</v>
      </c>
      <c r="O547">
        <v>348</v>
      </c>
    </row>
    <row r="548" spans="1:15" x14ac:dyDescent="0.3">
      <c r="A548">
        <v>547</v>
      </c>
      <c r="B548" t="s">
        <v>582</v>
      </c>
      <c r="C548">
        <v>54</v>
      </c>
      <c r="D548" t="s">
        <v>29</v>
      </c>
      <c r="E548" t="s">
        <v>25</v>
      </c>
      <c r="F548" t="s">
        <v>23</v>
      </c>
      <c r="G548" t="s">
        <v>27</v>
      </c>
      <c r="H548">
        <v>2</v>
      </c>
      <c r="I548">
        <v>4000</v>
      </c>
      <c r="J548" s="1">
        <v>45054</v>
      </c>
      <c r="K548" s="1">
        <v>45380</v>
      </c>
      <c r="L548">
        <v>258</v>
      </c>
      <c r="M548">
        <v>64</v>
      </c>
      <c r="N548" t="s">
        <v>47</v>
      </c>
      <c r="O548">
        <v>326</v>
      </c>
    </row>
    <row r="549" spans="1:15" x14ac:dyDescent="0.3">
      <c r="A549">
        <v>548</v>
      </c>
      <c r="B549" t="s">
        <v>583</v>
      </c>
      <c r="C549">
        <v>28</v>
      </c>
      <c r="D549" t="s">
        <v>40</v>
      </c>
      <c r="E549" t="s">
        <v>30</v>
      </c>
      <c r="F549" t="s">
        <v>23</v>
      </c>
      <c r="G549" t="s">
        <v>19</v>
      </c>
      <c r="H549">
        <v>4</v>
      </c>
      <c r="I549">
        <v>32800</v>
      </c>
      <c r="J549" s="1">
        <v>45006</v>
      </c>
      <c r="K549" s="1">
        <v>45172</v>
      </c>
      <c r="L549">
        <v>440</v>
      </c>
      <c r="M549">
        <v>272</v>
      </c>
      <c r="N549" t="s">
        <v>20</v>
      </c>
      <c r="O549">
        <v>166</v>
      </c>
    </row>
    <row r="550" spans="1:15" x14ac:dyDescent="0.3">
      <c r="A550">
        <v>549</v>
      </c>
      <c r="B550" t="s">
        <v>584</v>
      </c>
      <c r="C550">
        <v>36</v>
      </c>
      <c r="D550" t="s">
        <v>52</v>
      </c>
      <c r="E550" t="s">
        <v>30</v>
      </c>
      <c r="F550" t="s">
        <v>23</v>
      </c>
      <c r="G550" t="s">
        <v>33</v>
      </c>
      <c r="H550">
        <v>1</v>
      </c>
      <c r="I550">
        <v>3300</v>
      </c>
      <c r="J550" s="1">
        <v>45157</v>
      </c>
      <c r="K550" s="1">
        <v>45558</v>
      </c>
      <c r="L550">
        <v>140</v>
      </c>
      <c r="M550">
        <v>-114</v>
      </c>
      <c r="N550" t="s">
        <v>47</v>
      </c>
      <c r="O550">
        <v>401</v>
      </c>
    </row>
    <row r="551" spans="1:15" x14ac:dyDescent="0.3">
      <c r="A551">
        <v>550</v>
      </c>
      <c r="B551" t="s">
        <v>585</v>
      </c>
      <c r="C551">
        <v>31</v>
      </c>
      <c r="D551" t="s">
        <v>52</v>
      </c>
      <c r="E551" t="s">
        <v>30</v>
      </c>
      <c r="F551" t="s">
        <v>23</v>
      </c>
      <c r="G551" t="s">
        <v>19</v>
      </c>
      <c r="H551">
        <v>8</v>
      </c>
      <c r="I551">
        <v>29600</v>
      </c>
      <c r="J551" s="1">
        <v>44908</v>
      </c>
      <c r="K551" s="1">
        <v>45384</v>
      </c>
      <c r="L551">
        <v>1200</v>
      </c>
      <c r="M551">
        <v>60</v>
      </c>
      <c r="N551" t="s">
        <v>47</v>
      </c>
      <c r="O551">
        <v>476</v>
      </c>
    </row>
    <row r="552" spans="1:15" x14ac:dyDescent="0.3">
      <c r="A552">
        <v>551</v>
      </c>
      <c r="B552" t="s">
        <v>586</v>
      </c>
      <c r="C552">
        <v>65</v>
      </c>
      <c r="D552" t="s">
        <v>63</v>
      </c>
      <c r="E552" t="s">
        <v>17</v>
      </c>
      <c r="F552" t="s">
        <v>18</v>
      </c>
      <c r="G552" t="s">
        <v>19</v>
      </c>
      <c r="H552">
        <v>9</v>
      </c>
      <c r="I552">
        <v>6300</v>
      </c>
      <c r="J552" s="1">
        <v>44690</v>
      </c>
      <c r="K552" s="1">
        <v>44939</v>
      </c>
      <c r="L552">
        <v>5436</v>
      </c>
      <c r="M552">
        <v>505</v>
      </c>
      <c r="N552" t="s">
        <v>20</v>
      </c>
      <c r="O552">
        <v>249</v>
      </c>
    </row>
    <row r="553" spans="1:15" x14ac:dyDescent="0.3">
      <c r="A553">
        <v>552</v>
      </c>
      <c r="B553" t="s">
        <v>587</v>
      </c>
      <c r="C553">
        <v>22</v>
      </c>
      <c r="D553" t="s">
        <v>29</v>
      </c>
      <c r="E553" t="s">
        <v>30</v>
      </c>
      <c r="F553" t="s">
        <v>26</v>
      </c>
      <c r="G553" t="s">
        <v>19</v>
      </c>
      <c r="H553">
        <v>7</v>
      </c>
      <c r="I553">
        <v>41300</v>
      </c>
      <c r="J553" s="1">
        <v>44699</v>
      </c>
      <c r="K553" s="1">
        <v>44827</v>
      </c>
      <c r="L553">
        <v>84</v>
      </c>
      <c r="M553">
        <v>617</v>
      </c>
      <c r="N553" t="s">
        <v>20</v>
      </c>
      <c r="O553">
        <v>128</v>
      </c>
    </row>
    <row r="554" spans="1:15" x14ac:dyDescent="0.3">
      <c r="A554">
        <v>553</v>
      </c>
      <c r="B554" t="s">
        <v>588</v>
      </c>
      <c r="C554">
        <v>65</v>
      </c>
      <c r="D554" t="s">
        <v>46</v>
      </c>
      <c r="E554" t="s">
        <v>36</v>
      </c>
      <c r="F554" t="s">
        <v>18</v>
      </c>
      <c r="G554" t="s">
        <v>27</v>
      </c>
      <c r="H554">
        <v>8</v>
      </c>
      <c r="I554">
        <v>89600</v>
      </c>
      <c r="J554" s="1">
        <v>45142</v>
      </c>
      <c r="K554" s="1">
        <v>45237</v>
      </c>
      <c r="L554">
        <v>4992</v>
      </c>
      <c r="M554">
        <v>207</v>
      </c>
      <c r="N554" t="s">
        <v>20</v>
      </c>
      <c r="O554">
        <v>95</v>
      </c>
    </row>
    <row r="555" spans="1:15" x14ac:dyDescent="0.3">
      <c r="A555">
        <v>554</v>
      </c>
      <c r="B555" t="s">
        <v>589</v>
      </c>
      <c r="C555">
        <v>59</v>
      </c>
      <c r="D555" t="s">
        <v>29</v>
      </c>
      <c r="E555" t="s">
        <v>30</v>
      </c>
      <c r="F555" t="s">
        <v>26</v>
      </c>
      <c r="G555" t="s">
        <v>19</v>
      </c>
      <c r="H555">
        <v>9</v>
      </c>
      <c r="I555">
        <v>38700</v>
      </c>
      <c r="J555" s="1">
        <v>44632</v>
      </c>
      <c r="K555" s="1">
        <v>44903</v>
      </c>
      <c r="L555">
        <v>171</v>
      </c>
      <c r="M555">
        <v>541</v>
      </c>
      <c r="N555" t="s">
        <v>20</v>
      </c>
      <c r="O555">
        <v>271</v>
      </c>
    </row>
    <row r="556" spans="1:15" x14ac:dyDescent="0.3">
      <c r="A556">
        <v>555</v>
      </c>
      <c r="B556" t="s">
        <v>590</v>
      </c>
      <c r="C556">
        <v>44</v>
      </c>
      <c r="D556" t="s">
        <v>46</v>
      </c>
      <c r="E556" t="s">
        <v>30</v>
      </c>
      <c r="F556" t="s">
        <v>18</v>
      </c>
      <c r="G556" t="s">
        <v>27</v>
      </c>
      <c r="H556">
        <v>8</v>
      </c>
      <c r="I556">
        <v>24000</v>
      </c>
      <c r="J556" s="1">
        <v>45080</v>
      </c>
      <c r="K556" s="1">
        <v>45274</v>
      </c>
      <c r="L556">
        <v>4808</v>
      </c>
      <c r="M556">
        <v>170</v>
      </c>
      <c r="N556" t="s">
        <v>47</v>
      </c>
      <c r="O556">
        <v>194</v>
      </c>
    </row>
    <row r="557" spans="1:15" x14ac:dyDescent="0.3">
      <c r="A557">
        <v>556</v>
      </c>
      <c r="B557" t="s">
        <v>591</v>
      </c>
      <c r="C557">
        <v>25</v>
      </c>
      <c r="D557" t="s">
        <v>63</v>
      </c>
      <c r="E557" t="s">
        <v>30</v>
      </c>
      <c r="F557" t="s">
        <v>31</v>
      </c>
      <c r="G557" t="s">
        <v>19</v>
      </c>
      <c r="H557">
        <v>9</v>
      </c>
      <c r="I557">
        <v>87300</v>
      </c>
      <c r="J557" s="1">
        <v>44958</v>
      </c>
      <c r="K557" s="1">
        <v>45055</v>
      </c>
      <c r="L557">
        <v>567</v>
      </c>
      <c r="M557">
        <v>389</v>
      </c>
      <c r="N557" t="s">
        <v>20</v>
      </c>
      <c r="O557">
        <v>97</v>
      </c>
    </row>
    <row r="558" spans="1:15" x14ac:dyDescent="0.3">
      <c r="A558">
        <v>557</v>
      </c>
      <c r="B558" t="s">
        <v>592</v>
      </c>
      <c r="C558">
        <v>47</v>
      </c>
      <c r="D558" t="s">
        <v>46</v>
      </c>
      <c r="E558" t="s">
        <v>25</v>
      </c>
      <c r="F558" t="s">
        <v>18</v>
      </c>
      <c r="G558" t="s">
        <v>19</v>
      </c>
      <c r="H558">
        <v>6</v>
      </c>
      <c r="I558">
        <v>9000</v>
      </c>
      <c r="J558" s="1">
        <v>44660</v>
      </c>
      <c r="K558" s="1">
        <v>44927</v>
      </c>
      <c r="L558">
        <v>3564</v>
      </c>
      <c r="M558">
        <v>517</v>
      </c>
      <c r="N558" t="s">
        <v>20</v>
      </c>
      <c r="O558">
        <v>267</v>
      </c>
    </row>
    <row r="559" spans="1:15" x14ac:dyDescent="0.3">
      <c r="A559">
        <v>558</v>
      </c>
      <c r="B559" t="s">
        <v>593</v>
      </c>
      <c r="C559">
        <v>33</v>
      </c>
      <c r="D559" t="s">
        <v>63</v>
      </c>
      <c r="E559" t="s">
        <v>25</v>
      </c>
      <c r="F559" t="s">
        <v>31</v>
      </c>
      <c r="G559" t="s">
        <v>19</v>
      </c>
      <c r="H559">
        <v>2</v>
      </c>
      <c r="I559">
        <v>6000</v>
      </c>
      <c r="J559" s="1">
        <v>44758</v>
      </c>
      <c r="K559" s="1">
        <v>44808</v>
      </c>
      <c r="L559">
        <v>64</v>
      </c>
      <c r="M559">
        <v>636</v>
      </c>
      <c r="N559" t="s">
        <v>20</v>
      </c>
      <c r="O559">
        <v>50</v>
      </c>
    </row>
    <row r="560" spans="1:15" x14ac:dyDescent="0.3">
      <c r="A560">
        <v>559</v>
      </c>
      <c r="B560" t="s">
        <v>594</v>
      </c>
      <c r="C560">
        <v>44</v>
      </c>
      <c r="D560" t="s">
        <v>22</v>
      </c>
      <c r="E560" t="s">
        <v>36</v>
      </c>
      <c r="F560" t="s">
        <v>18</v>
      </c>
      <c r="G560" t="s">
        <v>19</v>
      </c>
      <c r="H560">
        <v>4</v>
      </c>
      <c r="I560">
        <v>99600</v>
      </c>
      <c r="J560" s="1">
        <v>44634</v>
      </c>
      <c r="K560" s="1">
        <v>44640</v>
      </c>
      <c r="L560">
        <v>2412</v>
      </c>
      <c r="M560">
        <v>804</v>
      </c>
      <c r="N560" t="s">
        <v>20</v>
      </c>
      <c r="O560">
        <v>6</v>
      </c>
    </row>
    <row r="561" spans="1:15" x14ac:dyDescent="0.3">
      <c r="A561">
        <v>560</v>
      </c>
      <c r="B561" t="s">
        <v>595</v>
      </c>
      <c r="C561">
        <v>44</v>
      </c>
      <c r="D561" t="s">
        <v>46</v>
      </c>
      <c r="E561" t="s">
        <v>17</v>
      </c>
      <c r="F561" t="s">
        <v>26</v>
      </c>
      <c r="G561" t="s">
        <v>19</v>
      </c>
      <c r="H561">
        <v>9</v>
      </c>
      <c r="I561">
        <v>12600</v>
      </c>
      <c r="J561" s="1">
        <v>44939</v>
      </c>
      <c r="K561" s="1">
        <v>45345</v>
      </c>
      <c r="L561">
        <v>117</v>
      </c>
      <c r="M561">
        <v>99</v>
      </c>
      <c r="N561" t="s">
        <v>47</v>
      </c>
      <c r="O561">
        <v>406</v>
      </c>
    </row>
    <row r="562" spans="1:15" x14ac:dyDescent="0.3">
      <c r="A562">
        <v>561</v>
      </c>
      <c r="B562" t="s">
        <v>596</v>
      </c>
      <c r="C562">
        <v>25</v>
      </c>
      <c r="D562" t="s">
        <v>38</v>
      </c>
      <c r="E562" t="s">
        <v>17</v>
      </c>
      <c r="F562" t="s">
        <v>23</v>
      </c>
      <c r="G562" t="s">
        <v>19</v>
      </c>
      <c r="H562">
        <v>4</v>
      </c>
      <c r="I562">
        <v>6400</v>
      </c>
      <c r="J562" s="1">
        <v>44661</v>
      </c>
      <c r="K562" s="1">
        <v>44712</v>
      </c>
      <c r="L562">
        <v>496</v>
      </c>
      <c r="M562">
        <v>732</v>
      </c>
      <c r="N562" t="s">
        <v>20</v>
      </c>
      <c r="O562">
        <v>51</v>
      </c>
    </row>
    <row r="563" spans="1:15" x14ac:dyDescent="0.3">
      <c r="A563">
        <v>562</v>
      </c>
      <c r="B563" t="s">
        <v>597</v>
      </c>
      <c r="C563">
        <v>63</v>
      </c>
      <c r="D563" t="s">
        <v>22</v>
      </c>
      <c r="E563" t="s">
        <v>25</v>
      </c>
      <c r="F563" t="s">
        <v>31</v>
      </c>
      <c r="G563" t="s">
        <v>27</v>
      </c>
      <c r="H563">
        <v>4</v>
      </c>
      <c r="I563">
        <v>13200</v>
      </c>
      <c r="J563" s="1">
        <v>44745</v>
      </c>
      <c r="K563" s="1">
        <v>45030</v>
      </c>
      <c r="L563">
        <v>260</v>
      </c>
      <c r="M563">
        <v>414</v>
      </c>
      <c r="N563" t="s">
        <v>20</v>
      </c>
      <c r="O563">
        <v>285</v>
      </c>
    </row>
    <row r="564" spans="1:15" x14ac:dyDescent="0.3">
      <c r="A564">
        <v>563</v>
      </c>
      <c r="B564" t="s">
        <v>598</v>
      </c>
      <c r="C564">
        <v>65</v>
      </c>
      <c r="D564" t="s">
        <v>22</v>
      </c>
      <c r="E564" t="s">
        <v>17</v>
      </c>
      <c r="F564" t="s">
        <v>18</v>
      </c>
      <c r="G564" t="s">
        <v>33</v>
      </c>
      <c r="H564">
        <v>7</v>
      </c>
      <c r="I564">
        <v>4900</v>
      </c>
      <c r="J564" s="1">
        <v>44732</v>
      </c>
      <c r="K564" s="1">
        <v>45137</v>
      </c>
      <c r="L564">
        <v>4207</v>
      </c>
      <c r="M564">
        <v>307</v>
      </c>
      <c r="N564" t="s">
        <v>20</v>
      </c>
      <c r="O564">
        <v>405</v>
      </c>
    </row>
    <row r="565" spans="1:15" x14ac:dyDescent="0.3">
      <c r="A565">
        <v>564</v>
      </c>
      <c r="B565" t="s">
        <v>599</v>
      </c>
      <c r="C565">
        <v>59</v>
      </c>
      <c r="D565" t="s">
        <v>22</v>
      </c>
      <c r="E565" t="s">
        <v>30</v>
      </c>
      <c r="F565" t="s">
        <v>31</v>
      </c>
      <c r="G565" t="s">
        <v>27</v>
      </c>
      <c r="H565">
        <v>8</v>
      </c>
      <c r="I565">
        <v>47200</v>
      </c>
      <c r="J565" s="1">
        <v>44884</v>
      </c>
      <c r="K565" s="1">
        <v>45165</v>
      </c>
      <c r="L565">
        <v>400</v>
      </c>
      <c r="M565">
        <v>279</v>
      </c>
      <c r="N565" t="s">
        <v>20</v>
      </c>
      <c r="O565">
        <v>281</v>
      </c>
    </row>
    <row r="566" spans="1:15" x14ac:dyDescent="0.3">
      <c r="A566">
        <v>565</v>
      </c>
      <c r="B566" t="s">
        <v>600</v>
      </c>
      <c r="C566">
        <v>59</v>
      </c>
      <c r="D566" t="s">
        <v>29</v>
      </c>
      <c r="E566" t="s">
        <v>36</v>
      </c>
      <c r="F566" t="s">
        <v>26</v>
      </c>
      <c r="G566" t="s">
        <v>19</v>
      </c>
      <c r="H566">
        <v>4</v>
      </c>
      <c r="I566">
        <v>94000</v>
      </c>
      <c r="J566" s="1">
        <v>45120</v>
      </c>
      <c r="K566" s="1">
        <v>45229</v>
      </c>
      <c r="L566">
        <v>136</v>
      </c>
      <c r="M566">
        <v>215</v>
      </c>
      <c r="N566" t="s">
        <v>20</v>
      </c>
      <c r="O566">
        <v>109</v>
      </c>
    </row>
    <row r="567" spans="1:15" x14ac:dyDescent="0.3">
      <c r="A567">
        <v>566</v>
      </c>
      <c r="B567" t="s">
        <v>601</v>
      </c>
      <c r="C567">
        <v>46</v>
      </c>
      <c r="D567" t="s">
        <v>38</v>
      </c>
      <c r="E567" t="s">
        <v>30</v>
      </c>
      <c r="F567" t="s">
        <v>26</v>
      </c>
      <c r="G567" t="s">
        <v>33</v>
      </c>
      <c r="H567">
        <v>1</v>
      </c>
      <c r="I567">
        <v>8900</v>
      </c>
      <c r="J567" s="1">
        <v>44597</v>
      </c>
      <c r="K567" s="1">
        <v>44742</v>
      </c>
      <c r="L567">
        <v>48</v>
      </c>
      <c r="M567">
        <v>702</v>
      </c>
      <c r="N567" t="s">
        <v>20</v>
      </c>
      <c r="O567">
        <v>145</v>
      </c>
    </row>
    <row r="568" spans="1:15" x14ac:dyDescent="0.3">
      <c r="A568">
        <v>567</v>
      </c>
      <c r="B568" t="s">
        <v>602</v>
      </c>
      <c r="C568">
        <v>40</v>
      </c>
      <c r="D568" t="s">
        <v>63</v>
      </c>
      <c r="E568" t="s">
        <v>25</v>
      </c>
      <c r="F568" t="s">
        <v>18</v>
      </c>
      <c r="G568" t="s">
        <v>19</v>
      </c>
      <c r="H568">
        <v>4</v>
      </c>
      <c r="I568">
        <v>7600</v>
      </c>
      <c r="J568" s="1">
        <v>44884</v>
      </c>
      <c r="K568" s="1">
        <v>44895</v>
      </c>
      <c r="L568">
        <v>2428</v>
      </c>
      <c r="M568">
        <v>549</v>
      </c>
      <c r="N568" t="s">
        <v>20</v>
      </c>
      <c r="O568">
        <v>11</v>
      </c>
    </row>
    <row r="569" spans="1:15" x14ac:dyDescent="0.3">
      <c r="A569">
        <v>568</v>
      </c>
      <c r="B569" t="s">
        <v>603</v>
      </c>
      <c r="C569">
        <v>43</v>
      </c>
      <c r="D569" t="s">
        <v>52</v>
      </c>
      <c r="E569" t="s">
        <v>17</v>
      </c>
      <c r="F569" t="s">
        <v>23</v>
      </c>
      <c r="G569" t="s">
        <v>33</v>
      </c>
      <c r="H569">
        <v>3</v>
      </c>
      <c r="I569">
        <v>2400</v>
      </c>
      <c r="J569" s="1">
        <v>44833</v>
      </c>
      <c r="K569" s="1">
        <v>45020</v>
      </c>
      <c r="L569">
        <v>441</v>
      </c>
      <c r="M569">
        <v>424</v>
      </c>
      <c r="N569" t="s">
        <v>20</v>
      </c>
      <c r="O569">
        <v>187</v>
      </c>
    </row>
    <row r="570" spans="1:15" x14ac:dyDescent="0.3">
      <c r="A570">
        <v>569</v>
      </c>
      <c r="B570" t="s">
        <v>604</v>
      </c>
      <c r="C570">
        <v>26</v>
      </c>
      <c r="D570" t="s">
        <v>40</v>
      </c>
      <c r="E570" t="s">
        <v>25</v>
      </c>
      <c r="F570" t="s">
        <v>18</v>
      </c>
      <c r="G570" t="s">
        <v>19</v>
      </c>
      <c r="H570">
        <v>10</v>
      </c>
      <c r="I570">
        <v>26000</v>
      </c>
      <c r="J570" s="1">
        <v>45144</v>
      </c>
      <c r="K570" s="1">
        <v>45613</v>
      </c>
      <c r="L570">
        <v>6030</v>
      </c>
      <c r="M570">
        <v>-169</v>
      </c>
      <c r="N570" t="s">
        <v>47</v>
      </c>
      <c r="O570">
        <v>469</v>
      </c>
    </row>
    <row r="571" spans="1:15" x14ac:dyDescent="0.3">
      <c r="A571">
        <v>570</v>
      </c>
      <c r="B571" t="s">
        <v>605</v>
      </c>
      <c r="C571">
        <v>52</v>
      </c>
      <c r="D571" t="s">
        <v>16</v>
      </c>
      <c r="E571" t="s">
        <v>30</v>
      </c>
      <c r="F571" t="s">
        <v>26</v>
      </c>
      <c r="G571" t="s">
        <v>19</v>
      </c>
      <c r="H571">
        <v>10</v>
      </c>
      <c r="I571">
        <v>97000</v>
      </c>
      <c r="J571" s="1">
        <v>44659</v>
      </c>
      <c r="K571" s="1">
        <v>44963</v>
      </c>
      <c r="L571">
        <v>290</v>
      </c>
      <c r="M571">
        <v>481</v>
      </c>
      <c r="N571" t="s">
        <v>20</v>
      </c>
      <c r="O571">
        <v>304</v>
      </c>
    </row>
    <row r="572" spans="1:15" x14ac:dyDescent="0.3">
      <c r="A572">
        <v>571</v>
      </c>
      <c r="B572" t="s">
        <v>606</v>
      </c>
      <c r="C572">
        <v>42</v>
      </c>
      <c r="D572" t="s">
        <v>63</v>
      </c>
      <c r="E572" t="s">
        <v>36</v>
      </c>
      <c r="F572" t="s">
        <v>23</v>
      </c>
      <c r="G572" t="s">
        <v>19</v>
      </c>
      <c r="H572">
        <v>6</v>
      </c>
      <c r="I572">
        <v>115200</v>
      </c>
      <c r="J572" s="1">
        <v>44988</v>
      </c>
      <c r="K572" s="1">
        <v>45464</v>
      </c>
      <c r="L572">
        <v>702</v>
      </c>
      <c r="M572">
        <v>-20</v>
      </c>
      <c r="N572" t="s">
        <v>47</v>
      </c>
      <c r="O572">
        <v>476</v>
      </c>
    </row>
    <row r="573" spans="1:15" x14ac:dyDescent="0.3">
      <c r="A573">
        <v>572</v>
      </c>
      <c r="B573" t="s">
        <v>607</v>
      </c>
      <c r="C573">
        <v>40</v>
      </c>
      <c r="D573" t="s">
        <v>40</v>
      </c>
      <c r="E573" t="s">
        <v>17</v>
      </c>
      <c r="F573" t="s">
        <v>26</v>
      </c>
      <c r="G573" t="s">
        <v>19</v>
      </c>
      <c r="H573">
        <v>9</v>
      </c>
      <c r="I573">
        <v>5400</v>
      </c>
      <c r="J573" s="1">
        <v>44888</v>
      </c>
      <c r="K573" s="1">
        <v>45164</v>
      </c>
      <c r="L573">
        <v>414</v>
      </c>
      <c r="M573">
        <v>280</v>
      </c>
      <c r="N573" t="s">
        <v>20</v>
      </c>
      <c r="O573">
        <v>276</v>
      </c>
    </row>
    <row r="574" spans="1:15" x14ac:dyDescent="0.3">
      <c r="A574">
        <v>573</v>
      </c>
      <c r="B574" t="s">
        <v>608</v>
      </c>
      <c r="C574">
        <v>24</v>
      </c>
      <c r="D574" t="s">
        <v>52</v>
      </c>
      <c r="E574" t="s">
        <v>30</v>
      </c>
      <c r="F574" t="s">
        <v>31</v>
      </c>
      <c r="G574" t="s">
        <v>19</v>
      </c>
      <c r="H574">
        <v>7</v>
      </c>
      <c r="I574">
        <v>46200</v>
      </c>
      <c r="J574" s="1">
        <v>45151</v>
      </c>
      <c r="K574" s="1">
        <v>45409</v>
      </c>
      <c r="L574">
        <v>245</v>
      </c>
      <c r="M574">
        <v>35</v>
      </c>
      <c r="N574" t="s">
        <v>47</v>
      </c>
      <c r="O574">
        <v>258</v>
      </c>
    </row>
    <row r="575" spans="1:15" x14ac:dyDescent="0.3">
      <c r="A575">
        <v>574</v>
      </c>
      <c r="B575" t="s">
        <v>609</v>
      </c>
      <c r="C575">
        <v>30</v>
      </c>
      <c r="D575" t="s">
        <v>40</v>
      </c>
      <c r="E575" t="s">
        <v>36</v>
      </c>
      <c r="F575" t="s">
        <v>18</v>
      </c>
      <c r="G575" t="s">
        <v>33</v>
      </c>
      <c r="H575">
        <v>3</v>
      </c>
      <c r="I575">
        <v>48000</v>
      </c>
      <c r="J575" s="1">
        <v>44646</v>
      </c>
      <c r="K575" s="1">
        <v>44889</v>
      </c>
      <c r="L575">
        <v>1878</v>
      </c>
      <c r="M575">
        <v>555</v>
      </c>
      <c r="N575" t="s">
        <v>20</v>
      </c>
      <c r="O575">
        <v>243</v>
      </c>
    </row>
    <row r="576" spans="1:15" x14ac:dyDescent="0.3">
      <c r="A576">
        <v>575</v>
      </c>
      <c r="B576" t="s">
        <v>610</v>
      </c>
      <c r="C576">
        <v>46</v>
      </c>
      <c r="D576" t="s">
        <v>63</v>
      </c>
      <c r="E576" t="s">
        <v>36</v>
      </c>
      <c r="F576" t="s">
        <v>18</v>
      </c>
      <c r="G576" t="s">
        <v>19</v>
      </c>
      <c r="H576">
        <v>9</v>
      </c>
      <c r="I576">
        <v>172800</v>
      </c>
      <c r="J576" s="1">
        <v>44695</v>
      </c>
      <c r="K576" s="1">
        <v>45085</v>
      </c>
      <c r="L576">
        <v>5382</v>
      </c>
      <c r="M576">
        <v>359</v>
      </c>
      <c r="N576" t="s">
        <v>20</v>
      </c>
      <c r="O576">
        <v>390</v>
      </c>
    </row>
    <row r="577" spans="1:15" x14ac:dyDescent="0.3">
      <c r="A577">
        <v>576</v>
      </c>
      <c r="B577" t="s">
        <v>611</v>
      </c>
      <c r="C577">
        <v>62</v>
      </c>
      <c r="D577" t="s">
        <v>46</v>
      </c>
      <c r="E577" t="s">
        <v>25</v>
      </c>
      <c r="F577" t="s">
        <v>26</v>
      </c>
      <c r="G577" t="s">
        <v>33</v>
      </c>
      <c r="H577">
        <v>10</v>
      </c>
      <c r="I577">
        <v>18000</v>
      </c>
      <c r="J577" s="1">
        <v>45136</v>
      </c>
      <c r="K577" s="1">
        <v>45451</v>
      </c>
      <c r="L577">
        <v>430</v>
      </c>
      <c r="M577">
        <v>-7</v>
      </c>
      <c r="N577" t="s">
        <v>47</v>
      </c>
      <c r="O577">
        <v>315</v>
      </c>
    </row>
    <row r="578" spans="1:15" x14ac:dyDescent="0.3">
      <c r="A578">
        <v>577</v>
      </c>
      <c r="B578" t="s">
        <v>612</v>
      </c>
      <c r="C578">
        <v>48</v>
      </c>
      <c r="D578" t="s">
        <v>40</v>
      </c>
      <c r="E578" t="s">
        <v>25</v>
      </c>
      <c r="F578" t="s">
        <v>23</v>
      </c>
      <c r="G578" t="s">
        <v>19</v>
      </c>
      <c r="H578">
        <v>6</v>
      </c>
      <c r="I578">
        <v>22800</v>
      </c>
      <c r="J578" s="1">
        <v>45151</v>
      </c>
      <c r="K578" s="1">
        <v>45196</v>
      </c>
      <c r="L578">
        <v>702</v>
      </c>
      <c r="M578">
        <v>248</v>
      </c>
      <c r="N578" t="s">
        <v>20</v>
      </c>
      <c r="O578">
        <v>45</v>
      </c>
    </row>
    <row r="579" spans="1:15" x14ac:dyDescent="0.3">
      <c r="A579">
        <v>578</v>
      </c>
      <c r="B579" t="s">
        <v>613</v>
      </c>
      <c r="C579">
        <v>33</v>
      </c>
      <c r="D579" t="s">
        <v>22</v>
      </c>
      <c r="E579" t="s">
        <v>36</v>
      </c>
      <c r="F579" t="s">
        <v>18</v>
      </c>
      <c r="G579" t="s">
        <v>19</v>
      </c>
      <c r="H579">
        <v>6</v>
      </c>
      <c r="I579">
        <v>97800</v>
      </c>
      <c r="J579" s="1">
        <v>44586</v>
      </c>
      <c r="K579" s="1">
        <v>44980</v>
      </c>
      <c r="L579">
        <v>3654</v>
      </c>
      <c r="M579">
        <v>464</v>
      </c>
      <c r="N579" t="s">
        <v>20</v>
      </c>
      <c r="O579">
        <v>394</v>
      </c>
    </row>
    <row r="580" spans="1:15" x14ac:dyDescent="0.3">
      <c r="A580">
        <v>579</v>
      </c>
      <c r="B580" t="s">
        <v>614</v>
      </c>
      <c r="C580">
        <v>30</v>
      </c>
      <c r="D580" t="s">
        <v>52</v>
      </c>
      <c r="E580" t="s">
        <v>30</v>
      </c>
      <c r="F580" t="s">
        <v>26</v>
      </c>
      <c r="G580" t="s">
        <v>27</v>
      </c>
      <c r="H580">
        <v>8</v>
      </c>
      <c r="I580">
        <v>27200</v>
      </c>
      <c r="J580" s="1">
        <v>44801</v>
      </c>
      <c r="K580" s="1">
        <v>44903</v>
      </c>
      <c r="L580">
        <v>264</v>
      </c>
      <c r="M580">
        <v>541</v>
      </c>
      <c r="N580" t="s">
        <v>20</v>
      </c>
      <c r="O580">
        <v>102</v>
      </c>
    </row>
    <row r="581" spans="1:15" x14ac:dyDescent="0.3">
      <c r="A581">
        <v>580</v>
      </c>
      <c r="B581" t="s">
        <v>615</v>
      </c>
      <c r="C581">
        <v>36</v>
      </c>
      <c r="D581" t="s">
        <v>52</v>
      </c>
      <c r="E581" t="s">
        <v>17</v>
      </c>
      <c r="F581" t="s">
        <v>23</v>
      </c>
      <c r="G581" t="s">
        <v>19</v>
      </c>
      <c r="H581">
        <v>10</v>
      </c>
      <c r="I581">
        <v>8000</v>
      </c>
      <c r="J581" s="1">
        <v>44856</v>
      </c>
      <c r="K581" s="1">
        <v>44863</v>
      </c>
      <c r="L581">
        <v>1310</v>
      </c>
      <c r="M581">
        <v>581</v>
      </c>
      <c r="N581" t="s">
        <v>20</v>
      </c>
      <c r="O581">
        <v>7</v>
      </c>
    </row>
    <row r="582" spans="1:15" x14ac:dyDescent="0.3">
      <c r="A582">
        <v>581</v>
      </c>
      <c r="B582" t="s">
        <v>616</v>
      </c>
      <c r="C582">
        <v>22</v>
      </c>
      <c r="D582" t="s">
        <v>16</v>
      </c>
      <c r="E582" t="s">
        <v>30</v>
      </c>
      <c r="F582" t="s">
        <v>26</v>
      </c>
      <c r="G582" t="s">
        <v>33</v>
      </c>
      <c r="H582">
        <v>6</v>
      </c>
      <c r="I582">
        <v>28200</v>
      </c>
      <c r="J582" s="1">
        <v>45112</v>
      </c>
      <c r="K582" s="1">
        <v>45220</v>
      </c>
      <c r="L582">
        <v>138</v>
      </c>
      <c r="M582">
        <v>224</v>
      </c>
      <c r="N582" t="s">
        <v>20</v>
      </c>
      <c r="O582">
        <v>108</v>
      </c>
    </row>
    <row r="583" spans="1:15" x14ac:dyDescent="0.3">
      <c r="A583">
        <v>582</v>
      </c>
      <c r="B583" t="s">
        <v>617</v>
      </c>
      <c r="C583">
        <v>45</v>
      </c>
      <c r="D583" t="s">
        <v>38</v>
      </c>
      <c r="E583" t="s">
        <v>36</v>
      </c>
      <c r="F583" t="s">
        <v>31</v>
      </c>
      <c r="G583" t="s">
        <v>19</v>
      </c>
      <c r="H583">
        <v>10</v>
      </c>
      <c r="I583">
        <v>223000</v>
      </c>
      <c r="J583" s="1">
        <v>44606</v>
      </c>
      <c r="K583" s="1">
        <v>44736</v>
      </c>
      <c r="L583">
        <v>400</v>
      </c>
      <c r="M583">
        <v>708</v>
      </c>
      <c r="N583" t="s">
        <v>20</v>
      </c>
      <c r="O583">
        <v>130</v>
      </c>
    </row>
    <row r="584" spans="1:15" x14ac:dyDescent="0.3">
      <c r="A584">
        <v>583</v>
      </c>
      <c r="B584" t="s">
        <v>618</v>
      </c>
      <c r="C584">
        <v>38</v>
      </c>
      <c r="D584" t="s">
        <v>63</v>
      </c>
      <c r="E584" t="s">
        <v>30</v>
      </c>
      <c r="F584" t="s">
        <v>31</v>
      </c>
      <c r="G584" t="s">
        <v>27</v>
      </c>
      <c r="H584">
        <v>1</v>
      </c>
      <c r="I584">
        <v>6800</v>
      </c>
      <c r="J584" s="1">
        <v>44570</v>
      </c>
      <c r="K584" s="1">
        <v>44604</v>
      </c>
      <c r="L584">
        <v>54</v>
      </c>
      <c r="M584">
        <v>840</v>
      </c>
      <c r="N584" t="s">
        <v>20</v>
      </c>
      <c r="O584">
        <v>34</v>
      </c>
    </row>
    <row r="585" spans="1:15" x14ac:dyDescent="0.3">
      <c r="A585">
        <v>584</v>
      </c>
      <c r="B585" t="s">
        <v>619</v>
      </c>
      <c r="C585">
        <v>39</v>
      </c>
      <c r="D585" t="s">
        <v>38</v>
      </c>
      <c r="E585" t="s">
        <v>30</v>
      </c>
      <c r="F585" t="s">
        <v>23</v>
      </c>
      <c r="G585" t="s">
        <v>19</v>
      </c>
      <c r="H585">
        <v>7</v>
      </c>
      <c r="I585">
        <v>34300</v>
      </c>
      <c r="J585" s="1">
        <v>44951</v>
      </c>
      <c r="K585" s="1">
        <v>45211</v>
      </c>
      <c r="L585">
        <v>812</v>
      </c>
      <c r="M585">
        <v>233</v>
      </c>
      <c r="N585" t="s">
        <v>20</v>
      </c>
      <c r="O585">
        <v>260</v>
      </c>
    </row>
    <row r="586" spans="1:15" x14ac:dyDescent="0.3">
      <c r="A586">
        <v>585</v>
      </c>
      <c r="B586" t="s">
        <v>620</v>
      </c>
      <c r="C586">
        <v>33</v>
      </c>
      <c r="D586" t="s">
        <v>29</v>
      </c>
      <c r="E586" t="s">
        <v>36</v>
      </c>
      <c r="F586" t="s">
        <v>23</v>
      </c>
      <c r="G586" t="s">
        <v>19</v>
      </c>
      <c r="H586">
        <v>9</v>
      </c>
      <c r="I586">
        <v>180000</v>
      </c>
      <c r="J586" s="1">
        <v>45136</v>
      </c>
      <c r="K586" s="1">
        <v>45610</v>
      </c>
      <c r="L586">
        <v>999</v>
      </c>
      <c r="M586">
        <v>-166</v>
      </c>
      <c r="N586" t="s">
        <v>47</v>
      </c>
      <c r="O586">
        <v>474</v>
      </c>
    </row>
    <row r="587" spans="1:15" x14ac:dyDescent="0.3">
      <c r="A587">
        <v>586</v>
      </c>
      <c r="B587" t="s">
        <v>621</v>
      </c>
      <c r="C587">
        <v>52</v>
      </c>
      <c r="D587" t="s">
        <v>63</v>
      </c>
      <c r="E587" t="s">
        <v>25</v>
      </c>
      <c r="F587" t="s">
        <v>18</v>
      </c>
      <c r="G587" t="s">
        <v>19</v>
      </c>
      <c r="H587">
        <v>7</v>
      </c>
      <c r="I587">
        <v>28000</v>
      </c>
      <c r="J587" s="1">
        <v>44722</v>
      </c>
      <c r="K587" s="1">
        <v>44731</v>
      </c>
      <c r="L587">
        <v>4284</v>
      </c>
      <c r="M587">
        <v>713</v>
      </c>
      <c r="N587" t="s">
        <v>20</v>
      </c>
      <c r="O587">
        <v>9</v>
      </c>
    </row>
    <row r="588" spans="1:15" x14ac:dyDescent="0.3">
      <c r="A588">
        <v>587</v>
      </c>
      <c r="B588" t="s">
        <v>622</v>
      </c>
      <c r="C588">
        <v>53</v>
      </c>
      <c r="D588" t="s">
        <v>29</v>
      </c>
      <c r="E588" t="s">
        <v>30</v>
      </c>
      <c r="F588" t="s">
        <v>18</v>
      </c>
      <c r="G588" t="s">
        <v>19</v>
      </c>
      <c r="H588">
        <v>5</v>
      </c>
      <c r="I588">
        <v>48500</v>
      </c>
      <c r="J588" s="1">
        <v>44625</v>
      </c>
      <c r="K588" s="1">
        <v>44945</v>
      </c>
      <c r="L588">
        <v>3030</v>
      </c>
      <c r="M588">
        <v>499</v>
      </c>
      <c r="N588" t="s">
        <v>20</v>
      </c>
      <c r="O588">
        <v>320</v>
      </c>
    </row>
    <row r="589" spans="1:15" x14ac:dyDescent="0.3">
      <c r="A589">
        <v>588</v>
      </c>
      <c r="B589" t="s">
        <v>623</v>
      </c>
      <c r="C589">
        <v>30</v>
      </c>
      <c r="D589" t="s">
        <v>22</v>
      </c>
      <c r="E589" t="s">
        <v>17</v>
      </c>
      <c r="F589" t="s">
        <v>18</v>
      </c>
      <c r="G589" t="s">
        <v>19</v>
      </c>
      <c r="H589">
        <v>6</v>
      </c>
      <c r="I589">
        <v>7800</v>
      </c>
      <c r="J589" s="1">
        <v>44702</v>
      </c>
      <c r="K589" s="1">
        <v>44746</v>
      </c>
      <c r="L589">
        <v>3684</v>
      </c>
      <c r="M589">
        <v>698</v>
      </c>
      <c r="N589" t="s">
        <v>20</v>
      </c>
      <c r="O589">
        <v>44</v>
      </c>
    </row>
    <row r="590" spans="1:15" x14ac:dyDescent="0.3">
      <c r="A590">
        <v>589</v>
      </c>
      <c r="B590" t="s">
        <v>624</v>
      </c>
      <c r="C590">
        <v>30</v>
      </c>
      <c r="D590" t="s">
        <v>40</v>
      </c>
      <c r="E590" t="s">
        <v>36</v>
      </c>
      <c r="F590" t="s">
        <v>31</v>
      </c>
      <c r="G590" t="s">
        <v>27</v>
      </c>
      <c r="H590">
        <v>7</v>
      </c>
      <c r="I590">
        <v>106400</v>
      </c>
      <c r="J590" s="1">
        <v>44899</v>
      </c>
      <c r="K590" s="1">
        <v>45128</v>
      </c>
      <c r="L590">
        <v>448</v>
      </c>
      <c r="M590">
        <v>316</v>
      </c>
      <c r="N590" t="s">
        <v>20</v>
      </c>
      <c r="O590">
        <v>229</v>
      </c>
    </row>
    <row r="591" spans="1:15" x14ac:dyDescent="0.3">
      <c r="A591">
        <v>590</v>
      </c>
      <c r="B591" t="s">
        <v>625</v>
      </c>
      <c r="C591">
        <v>55</v>
      </c>
      <c r="D591" t="s">
        <v>52</v>
      </c>
      <c r="E591" t="s">
        <v>25</v>
      </c>
      <c r="F591" t="s">
        <v>31</v>
      </c>
      <c r="G591" t="s">
        <v>27</v>
      </c>
      <c r="H591">
        <v>4</v>
      </c>
      <c r="I591">
        <v>18000</v>
      </c>
      <c r="J591" s="1">
        <v>44703</v>
      </c>
      <c r="K591" s="1">
        <v>44861</v>
      </c>
      <c r="L591">
        <v>252</v>
      </c>
      <c r="M591">
        <v>583</v>
      </c>
      <c r="N591" t="s">
        <v>20</v>
      </c>
      <c r="O591">
        <v>158</v>
      </c>
    </row>
    <row r="592" spans="1:15" x14ac:dyDescent="0.3">
      <c r="A592">
        <v>591</v>
      </c>
      <c r="B592" t="s">
        <v>626</v>
      </c>
      <c r="C592">
        <v>31</v>
      </c>
      <c r="D592" t="s">
        <v>52</v>
      </c>
      <c r="E592" t="s">
        <v>36</v>
      </c>
      <c r="F592" t="s">
        <v>31</v>
      </c>
      <c r="G592" t="s">
        <v>27</v>
      </c>
      <c r="H592">
        <v>6</v>
      </c>
      <c r="I592">
        <v>43200</v>
      </c>
      <c r="J592" s="1">
        <v>45132</v>
      </c>
      <c r="K592" s="1">
        <v>45404</v>
      </c>
      <c r="L592">
        <v>222</v>
      </c>
      <c r="M592">
        <v>40</v>
      </c>
      <c r="N592" t="s">
        <v>47</v>
      </c>
      <c r="O592">
        <v>272</v>
      </c>
    </row>
    <row r="593" spans="1:15" x14ac:dyDescent="0.3">
      <c r="A593">
        <v>592</v>
      </c>
      <c r="B593" t="s">
        <v>627</v>
      </c>
      <c r="C593">
        <v>41</v>
      </c>
      <c r="D593" t="s">
        <v>52</v>
      </c>
      <c r="E593" t="s">
        <v>30</v>
      </c>
      <c r="F593" t="s">
        <v>31</v>
      </c>
      <c r="G593" t="s">
        <v>19</v>
      </c>
      <c r="H593">
        <v>7</v>
      </c>
      <c r="I593">
        <v>44800</v>
      </c>
      <c r="J593" s="1">
        <v>44872</v>
      </c>
      <c r="K593" s="1">
        <v>45098</v>
      </c>
      <c r="L593">
        <v>490</v>
      </c>
      <c r="M593">
        <v>346</v>
      </c>
      <c r="N593" t="s">
        <v>20</v>
      </c>
      <c r="O593">
        <v>226</v>
      </c>
    </row>
    <row r="594" spans="1:15" x14ac:dyDescent="0.3">
      <c r="A594">
        <v>593</v>
      </c>
      <c r="B594" t="s">
        <v>628</v>
      </c>
      <c r="C594">
        <v>29</v>
      </c>
      <c r="D594" t="s">
        <v>38</v>
      </c>
      <c r="E594" t="s">
        <v>25</v>
      </c>
      <c r="F594" t="s">
        <v>31</v>
      </c>
      <c r="G594" t="s">
        <v>19</v>
      </c>
      <c r="H594">
        <v>3</v>
      </c>
      <c r="I594">
        <v>3300</v>
      </c>
      <c r="J594" s="1">
        <v>44835</v>
      </c>
      <c r="K594" s="1">
        <v>45145</v>
      </c>
      <c r="L594">
        <v>198</v>
      </c>
      <c r="M594">
        <v>299</v>
      </c>
      <c r="N594" t="s">
        <v>20</v>
      </c>
      <c r="O594">
        <v>310</v>
      </c>
    </row>
    <row r="595" spans="1:15" x14ac:dyDescent="0.3">
      <c r="A595">
        <v>594</v>
      </c>
      <c r="B595" t="s">
        <v>629</v>
      </c>
      <c r="C595">
        <v>43</v>
      </c>
      <c r="D595" t="s">
        <v>40</v>
      </c>
      <c r="E595" t="s">
        <v>25</v>
      </c>
      <c r="F595" t="s">
        <v>31</v>
      </c>
      <c r="G595" t="s">
        <v>19</v>
      </c>
      <c r="H595">
        <v>2</v>
      </c>
      <c r="I595">
        <v>7600</v>
      </c>
      <c r="J595" s="1">
        <v>45050</v>
      </c>
      <c r="K595" s="1">
        <v>45118</v>
      </c>
      <c r="L595">
        <v>124</v>
      </c>
      <c r="M595">
        <v>326</v>
      </c>
      <c r="N595" t="s">
        <v>20</v>
      </c>
      <c r="O595">
        <v>68</v>
      </c>
    </row>
    <row r="596" spans="1:15" x14ac:dyDescent="0.3">
      <c r="A596">
        <v>595</v>
      </c>
      <c r="B596" t="s">
        <v>630</v>
      </c>
      <c r="C596">
        <v>52</v>
      </c>
      <c r="D596" t="s">
        <v>46</v>
      </c>
      <c r="E596" t="s">
        <v>30</v>
      </c>
      <c r="F596" t="s">
        <v>31</v>
      </c>
      <c r="G596" t="s">
        <v>33</v>
      </c>
      <c r="H596">
        <v>8</v>
      </c>
      <c r="I596">
        <v>32800</v>
      </c>
      <c r="J596" s="1">
        <v>44729</v>
      </c>
      <c r="K596" s="1">
        <v>44827</v>
      </c>
      <c r="L596">
        <v>352</v>
      </c>
      <c r="M596">
        <v>617</v>
      </c>
      <c r="N596" t="s">
        <v>20</v>
      </c>
      <c r="O596">
        <v>98</v>
      </c>
    </row>
    <row r="597" spans="1:15" x14ac:dyDescent="0.3">
      <c r="A597">
        <v>596</v>
      </c>
      <c r="B597" t="s">
        <v>631</v>
      </c>
      <c r="C597">
        <v>47</v>
      </c>
      <c r="D597" t="s">
        <v>63</v>
      </c>
      <c r="E597" t="s">
        <v>36</v>
      </c>
      <c r="F597" t="s">
        <v>23</v>
      </c>
      <c r="G597" t="s">
        <v>19</v>
      </c>
      <c r="H597">
        <v>4</v>
      </c>
      <c r="I597">
        <v>46400</v>
      </c>
      <c r="J597" s="1">
        <v>44771</v>
      </c>
      <c r="K597" s="1">
        <v>44804</v>
      </c>
      <c r="L597">
        <v>484</v>
      </c>
      <c r="M597">
        <v>640</v>
      </c>
      <c r="N597" t="s">
        <v>20</v>
      </c>
      <c r="O597">
        <v>33</v>
      </c>
    </row>
    <row r="598" spans="1:15" x14ac:dyDescent="0.3">
      <c r="A598">
        <v>597</v>
      </c>
      <c r="B598" t="s">
        <v>632</v>
      </c>
      <c r="C598">
        <v>36</v>
      </c>
      <c r="D598" t="s">
        <v>46</v>
      </c>
      <c r="E598" t="s">
        <v>36</v>
      </c>
      <c r="F598" t="s">
        <v>18</v>
      </c>
      <c r="G598" t="s">
        <v>33</v>
      </c>
      <c r="H598">
        <v>7</v>
      </c>
      <c r="I598">
        <v>128100</v>
      </c>
      <c r="J598" s="1">
        <v>44604</v>
      </c>
      <c r="K598" s="1">
        <v>44915</v>
      </c>
      <c r="L598">
        <v>4298</v>
      </c>
      <c r="M598">
        <v>529</v>
      </c>
      <c r="N598" t="s">
        <v>20</v>
      </c>
      <c r="O598">
        <v>311</v>
      </c>
    </row>
    <row r="599" spans="1:15" x14ac:dyDescent="0.3">
      <c r="A599">
        <v>598</v>
      </c>
      <c r="B599" t="s">
        <v>633</v>
      </c>
      <c r="C599">
        <v>27</v>
      </c>
      <c r="D599" t="s">
        <v>29</v>
      </c>
      <c r="E599" t="s">
        <v>36</v>
      </c>
      <c r="F599" t="s">
        <v>23</v>
      </c>
      <c r="G599" t="s">
        <v>27</v>
      </c>
      <c r="H599">
        <v>8</v>
      </c>
      <c r="I599">
        <v>160000</v>
      </c>
      <c r="J599" s="1">
        <v>44605</v>
      </c>
      <c r="K599" s="1">
        <v>45054</v>
      </c>
      <c r="L599">
        <v>1000</v>
      </c>
      <c r="M599">
        <v>390</v>
      </c>
      <c r="N599" t="s">
        <v>20</v>
      </c>
      <c r="O599">
        <v>449</v>
      </c>
    </row>
    <row r="600" spans="1:15" x14ac:dyDescent="0.3">
      <c r="A600">
        <v>599</v>
      </c>
      <c r="B600" t="s">
        <v>634</v>
      </c>
      <c r="C600">
        <v>61</v>
      </c>
      <c r="D600" t="s">
        <v>22</v>
      </c>
      <c r="E600" t="s">
        <v>17</v>
      </c>
      <c r="F600" t="s">
        <v>26</v>
      </c>
      <c r="G600" t="s">
        <v>27</v>
      </c>
      <c r="H600">
        <v>1</v>
      </c>
      <c r="I600">
        <v>900</v>
      </c>
      <c r="J600" s="1">
        <v>44860</v>
      </c>
      <c r="K600" s="1">
        <v>45085</v>
      </c>
      <c r="L600">
        <v>35</v>
      </c>
      <c r="M600">
        <v>359</v>
      </c>
      <c r="N600" t="s">
        <v>20</v>
      </c>
      <c r="O600">
        <v>225</v>
      </c>
    </row>
    <row r="601" spans="1:15" x14ac:dyDescent="0.3">
      <c r="A601">
        <v>600</v>
      </c>
      <c r="B601" t="s">
        <v>635</v>
      </c>
      <c r="C601">
        <v>48</v>
      </c>
      <c r="D601" t="s">
        <v>38</v>
      </c>
      <c r="E601" t="s">
        <v>30</v>
      </c>
      <c r="F601" t="s">
        <v>26</v>
      </c>
      <c r="G601" t="s">
        <v>19</v>
      </c>
      <c r="H601">
        <v>5</v>
      </c>
      <c r="I601">
        <v>40000</v>
      </c>
      <c r="J601" s="1">
        <v>44617</v>
      </c>
      <c r="K601" s="1">
        <v>44970</v>
      </c>
      <c r="L601">
        <v>215</v>
      </c>
      <c r="M601">
        <v>474</v>
      </c>
      <c r="N601" t="s">
        <v>20</v>
      </c>
      <c r="O601">
        <v>353</v>
      </c>
    </row>
    <row r="602" spans="1:15" x14ac:dyDescent="0.3">
      <c r="A602">
        <v>601</v>
      </c>
      <c r="B602" t="s">
        <v>636</v>
      </c>
      <c r="C602">
        <v>53</v>
      </c>
      <c r="D602" t="s">
        <v>52</v>
      </c>
      <c r="E602" t="s">
        <v>36</v>
      </c>
      <c r="F602" t="s">
        <v>26</v>
      </c>
      <c r="G602" t="s">
        <v>19</v>
      </c>
      <c r="H602">
        <v>2</v>
      </c>
      <c r="I602">
        <v>21800</v>
      </c>
      <c r="J602" s="1">
        <v>45161</v>
      </c>
      <c r="K602" s="1">
        <v>45641</v>
      </c>
      <c r="L602">
        <v>88</v>
      </c>
      <c r="M602">
        <v>-197</v>
      </c>
      <c r="N602" t="s">
        <v>47</v>
      </c>
      <c r="O602">
        <v>480</v>
      </c>
    </row>
    <row r="603" spans="1:15" x14ac:dyDescent="0.3">
      <c r="A603">
        <v>602</v>
      </c>
      <c r="B603" t="s">
        <v>637</v>
      </c>
      <c r="C603">
        <v>49</v>
      </c>
      <c r="D603" t="s">
        <v>52</v>
      </c>
      <c r="E603" t="s">
        <v>36</v>
      </c>
      <c r="F603" t="s">
        <v>26</v>
      </c>
      <c r="G603" t="s">
        <v>19</v>
      </c>
      <c r="H603">
        <v>1</v>
      </c>
      <c r="I603">
        <v>10900</v>
      </c>
      <c r="J603" s="1">
        <v>45026</v>
      </c>
      <c r="K603" s="1">
        <v>45328</v>
      </c>
      <c r="L603">
        <v>22</v>
      </c>
      <c r="M603">
        <v>116</v>
      </c>
      <c r="N603" t="s">
        <v>47</v>
      </c>
      <c r="O603">
        <v>302</v>
      </c>
    </row>
    <row r="604" spans="1:15" x14ac:dyDescent="0.3">
      <c r="A604">
        <v>603</v>
      </c>
      <c r="B604" t="s">
        <v>638</v>
      </c>
      <c r="C604">
        <v>65</v>
      </c>
      <c r="D604" t="s">
        <v>46</v>
      </c>
      <c r="E604" t="s">
        <v>17</v>
      </c>
      <c r="F604" t="s">
        <v>18</v>
      </c>
      <c r="G604" t="s">
        <v>19</v>
      </c>
      <c r="H604">
        <v>3</v>
      </c>
      <c r="I604">
        <v>6000</v>
      </c>
      <c r="J604" s="1">
        <v>44688</v>
      </c>
      <c r="K604" s="1">
        <v>44734</v>
      </c>
      <c r="L604">
        <v>1791</v>
      </c>
      <c r="M604">
        <v>710</v>
      </c>
      <c r="N604" t="s">
        <v>20</v>
      </c>
      <c r="O604">
        <v>46</v>
      </c>
    </row>
    <row r="605" spans="1:15" x14ac:dyDescent="0.3">
      <c r="A605">
        <v>604</v>
      </c>
      <c r="B605" t="s">
        <v>639</v>
      </c>
      <c r="C605">
        <v>45</v>
      </c>
      <c r="D605" t="s">
        <v>46</v>
      </c>
      <c r="E605" t="s">
        <v>30</v>
      </c>
      <c r="F605" t="s">
        <v>23</v>
      </c>
      <c r="G605" t="s">
        <v>27</v>
      </c>
      <c r="H605">
        <v>9</v>
      </c>
      <c r="I605">
        <v>72000</v>
      </c>
      <c r="J605" s="1">
        <v>44725</v>
      </c>
      <c r="K605" s="1">
        <v>44918</v>
      </c>
      <c r="L605">
        <v>1305</v>
      </c>
      <c r="M605">
        <v>526</v>
      </c>
      <c r="N605" t="s">
        <v>20</v>
      </c>
      <c r="O605">
        <v>193</v>
      </c>
    </row>
    <row r="606" spans="1:15" x14ac:dyDescent="0.3">
      <c r="A606">
        <v>605</v>
      </c>
      <c r="B606" t="s">
        <v>640</v>
      </c>
      <c r="C606">
        <v>57</v>
      </c>
      <c r="D606" t="s">
        <v>22</v>
      </c>
      <c r="E606" t="s">
        <v>17</v>
      </c>
      <c r="F606" t="s">
        <v>31</v>
      </c>
      <c r="G606" t="s">
        <v>19</v>
      </c>
      <c r="H606">
        <v>3</v>
      </c>
      <c r="I606">
        <v>2400</v>
      </c>
      <c r="J606" s="1">
        <v>44710</v>
      </c>
      <c r="K606" s="1">
        <v>44801</v>
      </c>
      <c r="L606">
        <v>99</v>
      </c>
      <c r="M606">
        <v>643</v>
      </c>
      <c r="N606" t="s">
        <v>20</v>
      </c>
      <c r="O606">
        <v>91</v>
      </c>
    </row>
    <row r="607" spans="1:15" x14ac:dyDescent="0.3">
      <c r="A607">
        <v>606</v>
      </c>
      <c r="B607" t="s">
        <v>641</v>
      </c>
      <c r="C607">
        <v>39</v>
      </c>
      <c r="D607" t="s">
        <v>22</v>
      </c>
      <c r="E607" t="s">
        <v>30</v>
      </c>
      <c r="F607" t="s">
        <v>18</v>
      </c>
      <c r="G607" t="s">
        <v>33</v>
      </c>
      <c r="H607">
        <v>3</v>
      </c>
      <c r="I607">
        <v>12000</v>
      </c>
      <c r="J607" s="1">
        <v>44696</v>
      </c>
      <c r="K607" s="1">
        <v>45187</v>
      </c>
      <c r="L607">
        <v>1806</v>
      </c>
      <c r="M607">
        <v>257</v>
      </c>
      <c r="N607" t="s">
        <v>20</v>
      </c>
      <c r="O607">
        <v>491</v>
      </c>
    </row>
    <row r="608" spans="1:15" x14ac:dyDescent="0.3">
      <c r="A608">
        <v>607</v>
      </c>
      <c r="B608" t="s">
        <v>642</v>
      </c>
      <c r="C608">
        <v>52</v>
      </c>
      <c r="D608" t="s">
        <v>63</v>
      </c>
      <c r="E608" t="s">
        <v>30</v>
      </c>
      <c r="F608" t="s">
        <v>23</v>
      </c>
      <c r="G608" t="s">
        <v>33</v>
      </c>
      <c r="H608">
        <v>8</v>
      </c>
      <c r="I608">
        <v>60000</v>
      </c>
      <c r="J608" s="1">
        <v>44567</v>
      </c>
      <c r="K608" s="1">
        <v>44878</v>
      </c>
      <c r="L608">
        <v>1128</v>
      </c>
      <c r="M608">
        <v>566</v>
      </c>
      <c r="N608" t="s">
        <v>20</v>
      </c>
      <c r="O608">
        <v>311</v>
      </c>
    </row>
    <row r="609" spans="1:15" x14ac:dyDescent="0.3">
      <c r="A609">
        <v>608</v>
      </c>
      <c r="B609" t="s">
        <v>643</v>
      </c>
      <c r="C609">
        <v>47</v>
      </c>
      <c r="D609" t="s">
        <v>40</v>
      </c>
      <c r="E609" t="s">
        <v>25</v>
      </c>
      <c r="F609" t="s">
        <v>26</v>
      </c>
      <c r="G609" t="s">
        <v>33</v>
      </c>
      <c r="H609">
        <v>8</v>
      </c>
      <c r="I609">
        <v>10400</v>
      </c>
      <c r="J609" s="1">
        <v>44568</v>
      </c>
      <c r="K609" s="1">
        <v>44693</v>
      </c>
      <c r="L609">
        <v>360</v>
      </c>
      <c r="M609">
        <v>751</v>
      </c>
      <c r="N609" t="s">
        <v>20</v>
      </c>
      <c r="O609">
        <v>125</v>
      </c>
    </row>
    <row r="610" spans="1:15" x14ac:dyDescent="0.3">
      <c r="A610">
        <v>609</v>
      </c>
      <c r="B610" t="s">
        <v>644</v>
      </c>
      <c r="C610">
        <v>30</v>
      </c>
      <c r="D610" t="s">
        <v>38</v>
      </c>
      <c r="E610" t="s">
        <v>25</v>
      </c>
      <c r="F610" t="s">
        <v>23</v>
      </c>
      <c r="G610" t="s">
        <v>19</v>
      </c>
      <c r="H610">
        <v>1</v>
      </c>
      <c r="I610">
        <v>3700</v>
      </c>
      <c r="J610" s="1">
        <v>44919</v>
      </c>
      <c r="K610" s="1">
        <v>44937</v>
      </c>
      <c r="L610">
        <v>119</v>
      </c>
      <c r="M610">
        <v>507</v>
      </c>
      <c r="N610" t="s">
        <v>20</v>
      </c>
      <c r="O610">
        <v>18</v>
      </c>
    </row>
    <row r="611" spans="1:15" x14ac:dyDescent="0.3">
      <c r="A611">
        <v>610</v>
      </c>
      <c r="B611" t="s">
        <v>645</v>
      </c>
      <c r="C611">
        <v>24</v>
      </c>
      <c r="D611" t="s">
        <v>63</v>
      </c>
      <c r="E611" t="s">
        <v>30</v>
      </c>
      <c r="F611" t="s">
        <v>18</v>
      </c>
      <c r="G611" t="s">
        <v>19</v>
      </c>
      <c r="H611">
        <v>2</v>
      </c>
      <c r="I611">
        <v>12800</v>
      </c>
      <c r="J611" s="1">
        <v>44744</v>
      </c>
      <c r="K611" s="1">
        <v>44826</v>
      </c>
      <c r="L611">
        <v>1216</v>
      </c>
      <c r="M611">
        <v>618</v>
      </c>
      <c r="N611" t="s">
        <v>20</v>
      </c>
      <c r="O611">
        <v>82</v>
      </c>
    </row>
    <row r="612" spans="1:15" x14ac:dyDescent="0.3">
      <c r="A612">
        <v>611</v>
      </c>
      <c r="B612" t="s">
        <v>646</v>
      </c>
      <c r="C612">
        <v>26</v>
      </c>
      <c r="D612" t="s">
        <v>52</v>
      </c>
      <c r="E612" t="s">
        <v>36</v>
      </c>
      <c r="F612" t="s">
        <v>18</v>
      </c>
      <c r="G612" t="s">
        <v>19</v>
      </c>
      <c r="H612">
        <v>5</v>
      </c>
      <c r="I612">
        <v>78000</v>
      </c>
      <c r="J612" s="1">
        <v>44939</v>
      </c>
      <c r="K612" s="1">
        <v>45398</v>
      </c>
      <c r="L612">
        <v>3070</v>
      </c>
      <c r="M612">
        <v>46</v>
      </c>
      <c r="N612" t="s">
        <v>47</v>
      </c>
      <c r="O612">
        <v>459</v>
      </c>
    </row>
    <row r="613" spans="1:15" x14ac:dyDescent="0.3">
      <c r="A613">
        <v>612</v>
      </c>
      <c r="B613" t="s">
        <v>647</v>
      </c>
      <c r="C613">
        <v>51</v>
      </c>
      <c r="D613" t="s">
        <v>16</v>
      </c>
      <c r="E613" t="s">
        <v>36</v>
      </c>
      <c r="F613" t="s">
        <v>23</v>
      </c>
      <c r="G613" t="s">
        <v>19</v>
      </c>
      <c r="H613">
        <v>3</v>
      </c>
      <c r="I613">
        <v>27000</v>
      </c>
      <c r="J613" s="1">
        <v>44843</v>
      </c>
      <c r="K613" s="1">
        <v>45011</v>
      </c>
      <c r="L613">
        <v>429</v>
      </c>
      <c r="M613">
        <v>433</v>
      </c>
      <c r="N613" t="s">
        <v>20</v>
      </c>
      <c r="O613">
        <v>168</v>
      </c>
    </row>
    <row r="614" spans="1:15" x14ac:dyDescent="0.3">
      <c r="A614">
        <v>613</v>
      </c>
      <c r="B614" t="s">
        <v>648</v>
      </c>
      <c r="C614">
        <v>24</v>
      </c>
      <c r="D614" t="s">
        <v>22</v>
      </c>
      <c r="E614" t="s">
        <v>25</v>
      </c>
      <c r="F614" t="s">
        <v>31</v>
      </c>
      <c r="G614" t="s">
        <v>27</v>
      </c>
      <c r="H614">
        <v>2</v>
      </c>
      <c r="I614">
        <v>6600</v>
      </c>
      <c r="J614" s="1">
        <v>45103</v>
      </c>
      <c r="K614" s="1">
        <v>45147</v>
      </c>
      <c r="L614">
        <v>120</v>
      </c>
      <c r="M614">
        <v>297</v>
      </c>
      <c r="N614" t="s">
        <v>20</v>
      </c>
      <c r="O614">
        <v>44</v>
      </c>
    </row>
    <row r="615" spans="1:15" x14ac:dyDescent="0.3">
      <c r="A615">
        <v>614</v>
      </c>
      <c r="B615" t="s">
        <v>649</v>
      </c>
      <c r="C615">
        <v>54</v>
      </c>
      <c r="D615" t="s">
        <v>38</v>
      </c>
      <c r="E615" t="s">
        <v>36</v>
      </c>
      <c r="F615" t="s">
        <v>18</v>
      </c>
      <c r="G615" t="s">
        <v>19</v>
      </c>
      <c r="H615">
        <v>10</v>
      </c>
      <c r="I615">
        <v>166000</v>
      </c>
      <c r="J615" s="1">
        <v>44694</v>
      </c>
      <c r="K615" s="1">
        <v>45008</v>
      </c>
      <c r="L615">
        <v>6260</v>
      </c>
      <c r="M615">
        <v>436</v>
      </c>
      <c r="N615" t="s">
        <v>20</v>
      </c>
      <c r="O615">
        <v>314</v>
      </c>
    </row>
    <row r="616" spans="1:15" x14ac:dyDescent="0.3">
      <c r="A616">
        <v>615</v>
      </c>
      <c r="B616" t="s">
        <v>650</v>
      </c>
      <c r="C616">
        <v>60</v>
      </c>
      <c r="D616" t="s">
        <v>46</v>
      </c>
      <c r="E616" t="s">
        <v>36</v>
      </c>
      <c r="F616" t="s">
        <v>26</v>
      </c>
      <c r="G616" t="s">
        <v>19</v>
      </c>
      <c r="H616">
        <v>4</v>
      </c>
      <c r="I616">
        <v>58000</v>
      </c>
      <c r="J616" s="1">
        <v>44760</v>
      </c>
      <c r="K616" s="1">
        <v>44760</v>
      </c>
      <c r="L616">
        <v>68</v>
      </c>
      <c r="M616">
        <v>684</v>
      </c>
      <c r="N616" t="s">
        <v>20</v>
      </c>
      <c r="O616">
        <v>0</v>
      </c>
    </row>
    <row r="617" spans="1:15" x14ac:dyDescent="0.3">
      <c r="A617">
        <v>616</v>
      </c>
      <c r="B617" t="s">
        <v>651</v>
      </c>
      <c r="C617">
        <v>60</v>
      </c>
      <c r="D617" t="s">
        <v>63</v>
      </c>
      <c r="E617" t="s">
        <v>36</v>
      </c>
      <c r="F617" t="s">
        <v>23</v>
      </c>
      <c r="G617" t="s">
        <v>19</v>
      </c>
      <c r="H617">
        <v>7</v>
      </c>
      <c r="I617">
        <v>130200</v>
      </c>
      <c r="J617" s="1">
        <v>44608</v>
      </c>
      <c r="K617" s="1">
        <v>44778</v>
      </c>
      <c r="L617">
        <v>924</v>
      </c>
      <c r="M617">
        <v>666</v>
      </c>
      <c r="N617" t="s">
        <v>20</v>
      </c>
      <c r="O617">
        <v>170</v>
      </c>
    </row>
    <row r="618" spans="1:15" x14ac:dyDescent="0.3">
      <c r="A618">
        <v>617</v>
      </c>
      <c r="B618" t="s">
        <v>652</v>
      </c>
      <c r="C618">
        <v>37</v>
      </c>
      <c r="D618" t="s">
        <v>40</v>
      </c>
      <c r="E618" t="s">
        <v>17</v>
      </c>
      <c r="F618" t="s">
        <v>31</v>
      </c>
      <c r="G618" t="s">
        <v>19</v>
      </c>
      <c r="H618">
        <v>2</v>
      </c>
      <c r="I618">
        <v>2200</v>
      </c>
      <c r="J618" s="1">
        <v>44869</v>
      </c>
      <c r="K618" s="1">
        <v>45128</v>
      </c>
      <c r="L618">
        <v>130</v>
      </c>
      <c r="M618">
        <v>316</v>
      </c>
      <c r="N618" t="s">
        <v>20</v>
      </c>
      <c r="O618">
        <v>259</v>
      </c>
    </row>
    <row r="619" spans="1:15" x14ac:dyDescent="0.3">
      <c r="A619">
        <v>618</v>
      </c>
      <c r="B619" t="s">
        <v>653</v>
      </c>
      <c r="C619">
        <v>42</v>
      </c>
      <c r="D619" t="s">
        <v>29</v>
      </c>
      <c r="E619" t="s">
        <v>17</v>
      </c>
      <c r="F619" t="s">
        <v>23</v>
      </c>
      <c r="G619" t="s">
        <v>19</v>
      </c>
      <c r="H619">
        <v>7</v>
      </c>
      <c r="I619">
        <v>14000</v>
      </c>
      <c r="J619" s="1">
        <v>45144</v>
      </c>
      <c r="K619" s="1">
        <v>45459</v>
      </c>
      <c r="L619">
        <v>777</v>
      </c>
      <c r="M619">
        <v>-15</v>
      </c>
      <c r="N619" t="s">
        <v>47</v>
      </c>
      <c r="O619">
        <v>315</v>
      </c>
    </row>
    <row r="620" spans="1:15" x14ac:dyDescent="0.3">
      <c r="A620">
        <v>619</v>
      </c>
      <c r="B620" t="s">
        <v>654</v>
      </c>
      <c r="C620">
        <v>64</v>
      </c>
      <c r="D620" t="s">
        <v>52</v>
      </c>
      <c r="E620" t="s">
        <v>25</v>
      </c>
      <c r="F620" t="s">
        <v>18</v>
      </c>
      <c r="G620" t="s">
        <v>19</v>
      </c>
      <c r="H620">
        <v>8</v>
      </c>
      <c r="I620">
        <v>38400</v>
      </c>
      <c r="J620" s="1">
        <v>45047</v>
      </c>
      <c r="K620" s="1">
        <v>45455</v>
      </c>
      <c r="L620">
        <v>4736</v>
      </c>
      <c r="M620">
        <v>-11</v>
      </c>
      <c r="N620" t="s">
        <v>47</v>
      </c>
      <c r="O620">
        <v>408</v>
      </c>
    </row>
    <row r="621" spans="1:15" x14ac:dyDescent="0.3">
      <c r="A621">
        <v>620</v>
      </c>
      <c r="B621" t="s">
        <v>655</v>
      </c>
      <c r="C621">
        <v>55</v>
      </c>
      <c r="D621" t="s">
        <v>52</v>
      </c>
      <c r="E621" t="s">
        <v>36</v>
      </c>
      <c r="F621" t="s">
        <v>31</v>
      </c>
      <c r="G621" t="s">
        <v>33</v>
      </c>
      <c r="H621">
        <v>6</v>
      </c>
      <c r="I621">
        <v>121200</v>
      </c>
      <c r="J621" s="1">
        <v>44985</v>
      </c>
      <c r="K621" s="1">
        <v>45460</v>
      </c>
      <c r="L621">
        <v>198</v>
      </c>
      <c r="M621">
        <v>-16</v>
      </c>
      <c r="N621" t="s">
        <v>47</v>
      </c>
      <c r="O621">
        <v>475</v>
      </c>
    </row>
    <row r="622" spans="1:15" x14ac:dyDescent="0.3">
      <c r="A622">
        <v>621</v>
      </c>
      <c r="B622" t="s">
        <v>656</v>
      </c>
      <c r="C622">
        <v>57</v>
      </c>
      <c r="D622" t="s">
        <v>38</v>
      </c>
      <c r="E622" t="s">
        <v>30</v>
      </c>
      <c r="F622" t="s">
        <v>23</v>
      </c>
      <c r="G622" t="s">
        <v>19</v>
      </c>
      <c r="H622">
        <v>6</v>
      </c>
      <c r="I622">
        <v>57000</v>
      </c>
      <c r="J622" s="1">
        <v>44924</v>
      </c>
      <c r="K622" s="1">
        <v>44957</v>
      </c>
      <c r="L622">
        <v>714</v>
      </c>
      <c r="M622">
        <v>487</v>
      </c>
      <c r="N622" t="s">
        <v>20</v>
      </c>
      <c r="O622">
        <v>33</v>
      </c>
    </row>
    <row r="623" spans="1:15" x14ac:dyDescent="0.3">
      <c r="A623">
        <v>622</v>
      </c>
      <c r="B623" t="s">
        <v>657</v>
      </c>
      <c r="C623">
        <v>61</v>
      </c>
      <c r="D623" t="s">
        <v>38</v>
      </c>
      <c r="E623" t="s">
        <v>17</v>
      </c>
      <c r="F623" t="s">
        <v>18</v>
      </c>
      <c r="G623" t="s">
        <v>33</v>
      </c>
      <c r="H623">
        <v>9</v>
      </c>
      <c r="I623">
        <v>7200</v>
      </c>
      <c r="J623" s="1">
        <v>45146</v>
      </c>
      <c r="K623" s="1">
        <v>45456</v>
      </c>
      <c r="L623">
        <v>5526</v>
      </c>
      <c r="M623">
        <v>-12</v>
      </c>
      <c r="N623" t="s">
        <v>47</v>
      </c>
      <c r="O623">
        <v>310</v>
      </c>
    </row>
    <row r="624" spans="1:15" x14ac:dyDescent="0.3">
      <c r="A624">
        <v>623</v>
      </c>
      <c r="B624" t="s">
        <v>658</v>
      </c>
      <c r="C624">
        <v>23</v>
      </c>
      <c r="D624" t="s">
        <v>52</v>
      </c>
      <c r="E624" t="s">
        <v>17</v>
      </c>
      <c r="F624" t="s">
        <v>18</v>
      </c>
      <c r="G624" t="s">
        <v>19</v>
      </c>
      <c r="H624">
        <v>5</v>
      </c>
      <c r="I624">
        <v>6500</v>
      </c>
      <c r="J624" s="1">
        <v>44650</v>
      </c>
      <c r="K624" s="1">
        <v>44904</v>
      </c>
      <c r="L624">
        <v>3025</v>
      </c>
      <c r="M624">
        <v>540</v>
      </c>
      <c r="N624" t="s">
        <v>20</v>
      </c>
      <c r="O624">
        <v>254</v>
      </c>
    </row>
    <row r="625" spans="1:15" x14ac:dyDescent="0.3">
      <c r="A625">
        <v>624</v>
      </c>
      <c r="B625" t="s">
        <v>659</v>
      </c>
      <c r="C625">
        <v>54</v>
      </c>
      <c r="D625" t="s">
        <v>29</v>
      </c>
      <c r="E625" t="s">
        <v>36</v>
      </c>
      <c r="F625" t="s">
        <v>18</v>
      </c>
      <c r="G625" t="s">
        <v>19</v>
      </c>
      <c r="H625">
        <v>5</v>
      </c>
      <c r="I625">
        <v>53500</v>
      </c>
      <c r="J625" s="1">
        <v>44676</v>
      </c>
      <c r="K625" s="1">
        <v>44867</v>
      </c>
      <c r="L625">
        <v>2960</v>
      </c>
      <c r="M625">
        <v>577</v>
      </c>
      <c r="N625" t="s">
        <v>20</v>
      </c>
      <c r="O625">
        <v>191</v>
      </c>
    </row>
    <row r="626" spans="1:15" x14ac:dyDescent="0.3">
      <c r="A626">
        <v>625</v>
      </c>
      <c r="B626" t="s">
        <v>660</v>
      </c>
      <c r="C626">
        <v>22</v>
      </c>
      <c r="D626" t="s">
        <v>40</v>
      </c>
      <c r="E626" t="s">
        <v>17</v>
      </c>
      <c r="F626" t="s">
        <v>26</v>
      </c>
      <c r="G626" t="s">
        <v>27</v>
      </c>
      <c r="H626">
        <v>8</v>
      </c>
      <c r="I626">
        <v>12000</v>
      </c>
      <c r="J626" s="1">
        <v>44719</v>
      </c>
      <c r="K626" s="1">
        <v>44816</v>
      </c>
      <c r="L626">
        <v>248</v>
      </c>
      <c r="M626">
        <v>628</v>
      </c>
      <c r="N626" t="s">
        <v>20</v>
      </c>
      <c r="O626">
        <v>97</v>
      </c>
    </row>
    <row r="627" spans="1:15" x14ac:dyDescent="0.3">
      <c r="A627">
        <v>626</v>
      </c>
      <c r="B627" t="s">
        <v>661</v>
      </c>
      <c r="C627">
        <v>27</v>
      </c>
      <c r="D627" t="s">
        <v>46</v>
      </c>
      <c r="E627" t="s">
        <v>30</v>
      </c>
      <c r="F627" t="s">
        <v>18</v>
      </c>
      <c r="G627" t="s">
        <v>19</v>
      </c>
      <c r="H627">
        <v>9</v>
      </c>
      <c r="I627">
        <v>76500</v>
      </c>
      <c r="J627" s="1">
        <v>44697</v>
      </c>
      <c r="K627" s="1">
        <v>44802</v>
      </c>
      <c r="L627">
        <v>5328</v>
      </c>
      <c r="M627">
        <v>642</v>
      </c>
      <c r="N627" t="s">
        <v>20</v>
      </c>
      <c r="O627">
        <v>105</v>
      </c>
    </row>
    <row r="628" spans="1:15" x14ac:dyDescent="0.3">
      <c r="A628">
        <v>627</v>
      </c>
      <c r="B628" t="s">
        <v>662</v>
      </c>
      <c r="C628">
        <v>40</v>
      </c>
      <c r="D628" t="s">
        <v>46</v>
      </c>
      <c r="E628" t="s">
        <v>36</v>
      </c>
      <c r="F628" t="s">
        <v>23</v>
      </c>
      <c r="G628" t="s">
        <v>19</v>
      </c>
      <c r="H628">
        <v>1</v>
      </c>
      <c r="I628">
        <v>24500</v>
      </c>
      <c r="J628" s="1">
        <v>44651</v>
      </c>
      <c r="K628" s="1">
        <v>44821</v>
      </c>
      <c r="L628">
        <v>139</v>
      </c>
      <c r="M628">
        <v>623</v>
      </c>
      <c r="N628" t="s">
        <v>20</v>
      </c>
      <c r="O628">
        <v>170</v>
      </c>
    </row>
    <row r="629" spans="1:15" x14ac:dyDescent="0.3">
      <c r="A629">
        <v>628</v>
      </c>
      <c r="B629" t="s">
        <v>663</v>
      </c>
      <c r="C629">
        <v>57</v>
      </c>
      <c r="D629" t="s">
        <v>63</v>
      </c>
      <c r="E629" t="s">
        <v>17</v>
      </c>
      <c r="F629" t="s">
        <v>18</v>
      </c>
      <c r="G629" t="s">
        <v>19</v>
      </c>
      <c r="H629">
        <v>5</v>
      </c>
      <c r="I629">
        <v>9000</v>
      </c>
      <c r="J629" s="1">
        <v>44776</v>
      </c>
      <c r="K629" s="1">
        <v>44940</v>
      </c>
      <c r="L629">
        <v>3010</v>
      </c>
      <c r="M629">
        <v>504</v>
      </c>
      <c r="N629" t="s">
        <v>20</v>
      </c>
      <c r="O629">
        <v>164</v>
      </c>
    </row>
    <row r="630" spans="1:15" x14ac:dyDescent="0.3">
      <c r="A630">
        <v>629</v>
      </c>
      <c r="B630" t="s">
        <v>664</v>
      </c>
      <c r="C630">
        <v>41</v>
      </c>
      <c r="D630" t="s">
        <v>40</v>
      </c>
      <c r="E630" t="s">
        <v>30</v>
      </c>
      <c r="F630" t="s">
        <v>18</v>
      </c>
      <c r="G630" t="s">
        <v>27</v>
      </c>
      <c r="H630">
        <v>8</v>
      </c>
      <c r="I630">
        <v>68000</v>
      </c>
      <c r="J630" s="1">
        <v>44682</v>
      </c>
      <c r="K630" s="1">
        <v>44821</v>
      </c>
      <c r="L630">
        <v>4792</v>
      </c>
      <c r="M630">
        <v>623</v>
      </c>
      <c r="N630" t="s">
        <v>20</v>
      </c>
      <c r="O630">
        <v>139</v>
      </c>
    </row>
    <row r="631" spans="1:15" x14ac:dyDescent="0.3">
      <c r="A631">
        <v>630</v>
      </c>
      <c r="B631" t="s">
        <v>665</v>
      </c>
      <c r="C631">
        <v>60</v>
      </c>
      <c r="D631" t="s">
        <v>52</v>
      </c>
      <c r="E631" t="s">
        <v>30</v>
      </c>
      <c r="F631" t="s">
        <v>23</v>
      </c>
      <c r="G631" t="s">
        <v>19</v>
      </c>
      <c r="H631">
        <v>9</v>
      </c>
      <c r="I631">
        <v>64800</v>
      </c>
      <c r="J631" s="1">
        <v>44666</v>
      </c>
      <c r="K631" s="1">
        <v>44771</v>
      </c>
      <c r="L631">
        <v>1296</v>
      </c>
      <c r="M631">
        <v>673</v>
      </c>
      <c r="N631" t="s">
        <v>20</v>
      </c>
      <c r="O631">
        <v>105</v>
      </c>
    </row>
    <row r="632" spans="1:15" x14ac:dyDescent="0.3">
      <c r="A632">
        <v>631</v>
      </c>
      <c r="B632" t="s">
        <v>666</v>
      </c>
      <c r="C632">
        <v>39</v>
      </c>
      <c r="D632" t="s">
        <v>29</v>
      </c>
      <c r="E632" t="s">
        <v>30</v>
      </c>
      <c r="F632" t="s">
        <v>18</v>
      </c>
      <c r="G632" t="s">
        <v>19</v>
      </c>
      <c r="H632">
        <v>10</v>
      </c>
      <c r="I632">
        <v>50000</v>
      </c>
      <c r="J632" s="1">
        <v>44737</v>
      </c>
      <c r="K632" s="1">
        <v>44773</v>
      </c>
      <c r="L632">
        <v>6090</v>
      </c>
      <c r="M632">
        <v>671</v>
      </c>
      <c r="N632" t="s">
        <v>20</v>
      </c>
      <c r="O632">
        <v>36</v>
      </c>
    </row>
    <row r="633" spans="1:15" x14ac:dyDescent="0.3">
      <c r="A633">
        <v>632</v>
      </c>
      <c r="B633" t="s">
        <v>667</v>
      </c>
      <c r="C633">
        <v>22</v>
      </c>
      <c r="D633" t="s">
        <v>29</v>
      </c>
      <c r="E633" t="s">
        <v>36</v>
      </c>
      <c r="F633" t="s">
        <v>23</v>
      </c>
      <c r="G633" t="s">
        <v>19</v>
      </c>
      <c r="H633">
        <v>8</v>
      </c>
      <c r="I633">
        <v>53600</v>
      </c>
      <c r="J633" s="1">
        <v>44670</v>
      </c>
      <c r="K633" s="1">
        <v>44866</v>
      </c>
      <c r="L633">
        <v>904</v>
      </c>
      <c r="M633">
        <v>578</v>
      </c>
      <c r="N633" t="s">
        <v>20</v>
      </c>
      <c r="O633">
        <v>196</v>
      </c>
    </row>
    <row r="634" spans="1:15" x14ac:dyDescent="0.3">
      <c r="A634">
        <v>633</v>
      </c>
      <c r="B634" t="s">
        <v>668</v>
      </c>
      <c r="C634">
        <v>59</v>
      </c>
      <c r="D634" t="s">
        <v>16</v>
      </c>
      <c r="E634" t="s">
        <v>36</v>
      </c>
      <c r="F634" t="s">
        <v>26</v>
      </c>
      <c r="G634" t="s">
        <v>19</v>
      </c>
      <c r="H634">
        <v>10</v>
      </c>
      <c r="I634">
        <v>196000</v>
      </c>
      <c r="J634" s="1">
        <v>44926</v>
      </c>
      <c r="K634" s="1">
        <v>45085</v>
      </c>
      <c r="L634">
        <v>310</v>
      </c>
      <c r="M634">
        <v>359</v>
      </c>
      <c r="N634" t="s">
        <v>20</v>
      </c>
      <c r="O634">
        <v>159</v>
      </c>
    </row>
    <row r="635" spans="1:15" x14ac:dyDescent="0.3">
      <c r="A635">
        <v>634</v>
      </c>
      <c r="B635" t="s">
        <v>669</v>
      </c>
      <c r="C635">
        <v>29</v>
      </c>
      <c r="D635" t="s">
        <v>40</v>
      </c>
      <c r="E635" t="s">
        <v>17</v>
      </c>
      <c r="F635" t="s">
        <v>26</v>
      </c>
      <c r="G635" t="s">
        <v>27</v>
      </c>
      <c r="H635">
        <v>2</v>
      </c>
      <c r="I635">
        <v>3800</v>
      </c>
      <c r="J635" s="1">
        <v>45041</v>
      </c>
      <c r="K635" s="1">
        <v>45090</v>
      </c>
      <c r="L635">
        <v>78</v>
      </c>
      <c r="M635">
        <v>354</v>
      </c>
      <c r="N635" t="s">
        <v>20</v>
      </c>
      <c r="O635">
        <v>49</v>
      </c>
    </row>
    <row r="636" spans="1:15" x14ac:dyDescent="0.3">
      <c r="A636">
        <v>635</v>
      </c>
      <c r="B636" t="s">
        <v>670</v>
      </c>
      <c r="C636">
        <v>35</v>
      </c>
      <c r="D636" t="s">
        <v>38</v>
      </c>
      <c r="E636" t="s">
        <v>36</v>
      </c>
      <c r="F636" t="s">
        <v>26</v>
      </c>
      <c r="G636" t="s">
        <v>19</v>
      </c>
      <c r="H636">
        <v>3</v>
      </c>
      <c r="I636">
        <v>40500</v>
      </c>
      <c r="J636" s="1">
        <v>44934</v>
      </c>
      <c r="K636" s="1">
        <v>45134</v>
      </c>
      <c r="L636">
        <v>63</v>
      </c>
      <c r="M636">
        <v>310</v>
      </c>
      <c r="N636" t="s">
        <v>20</v>
      </c>
      <c r="O636">
        <v>200</v>
      </c>
    </row>
    <row r="637" spans="1:15" x14ac:dyDescent="0.3">
      <c r="A637">
        <v>636</v>
      </c>
      <c r="B637" t="s">
        <v>671</v>
      </c>
      <c r="C637">
        <v>22</v>
      </c>
      <c r="D637" t="s">
        <v>29</v>
      </c>
      <c r="E637" t="s">
        <v>30</v>
      </c>
      <c r="F637" t="s">
        <v>26</v>
      </c>
      <c r="G637" t="s">
        <v>33</v>
      </c>
      <c r="H637">
        <v>2</v>
      </c>
      <c r="I637">
        <v>13800</v>
      </c>
      <c r="J637" s="1">
        <v>44677</v>
      </c>
      <c r="K637" s="1">
        <v>44856</v>
      </c>
      <c r="L637">
        <v>80</v>
      </c>
      <c r="M637">
        <v>588</v>
      </c>
      <c r="N637" t="s">
        <v>20</v>
      </c>
      <c r="O637">
        <v>179</v>
      </c>
    </row>
    <row r="638" spans="1:15" x14ac:dyDescent="0.3">
      <c r="A638">
        <v>637</v>
      </c>
      <c r="B638" t="s">
        <v>672</v>
      </c>
      <c r="C638">
        <v>59</v>
      </c>
      <c r="D638" t="s">
        <v>46</v>
      </c>
      <c r="E638" t="s">
        <v>25</v>
      </c>
      <c r="F638" t="s">
        <v>18</v>
      </c>
      <c r="G638" t="s">
        <v>19</v>
      </c>
      <c r="H638">
        <v>10</v>
      </c>
      <c r="I638">
        <v>15000</v>
      </c>
      <c r="J638" s="1">
        <v>45082</v>
      </c>
      <c r="K638" s="1">
        <v>45134</v>
      </c>
      <c r="L638">
        <v>6150</v>
      </c>
      <c r="M638">
        <v>310</v>
      </c>
      <c r="N638" t="s">
        <v>20</v>
      </c>
      <c r="O638">
        <v>52</v>
      </c>
    </row>
    <row r="639" spans="1:15" x14ac:dyDescent="0.3">
      <c r="A639">
        <v>638</v>
      </c>
      <c r="B639" t="s">
        <v>673</v>
      </c>
      <c r="C639">
        <v>55</v>
      </c>
      <c r="D639" t="s">
        <v>16</v>
      </c>
      <c r="E639" t="s">
        <v>30</v>
      </c>
      <c r="F639" t="s">
        <v>23</v>
      </c>
      <c r="G639" t="s">
        <v>19</v>
      </c>
      <c r="H639">
        <v>8</v>
      </c>
      <c r="I639">
        <v>50400</v>
      </c>
      <c r="J639" s="1">
        <v>44985</v>
      </c>
      <c r="K639" s="1">
        <v>45107</v>
      </c>
      <c r="L639">
        <v>1192</v>
      </c>
      <c r="M639">
        <v>337</v>
      </c>
      <c r="N639" t="s">
        <v>20</v>
      </c>
      <c r="O639">
        <v>122</v>
      </c>
    </row>
    <row r="640" spans="1:15" x14ac:dyDescent="0.3">
      <c r="A640">
        <v>639</v>
      </c>
      <c r="B640" t="s">
        <v>674</v>
      </c>
      <c r="C640">
        <v>25</v>
      </c>
      <c r="D640" t="s">
        <v>40</v>
      </c>
      <c r="E640" t="s">
        <v>25</v>
      </c>
      <c r="F640" t="s">
        <v>26</v>
      </c>
      <c r="G640" t="s">
        <v>33</v>
      </c>
      <c r="H640">
        <v>6</v>
      </c>
      <c r="I640">
        <v>11400</v>
      </c>
      <c r="J640" s="1">
        <v>45003</v>
      </c>
      <c r="K640" s="1">
        <v>45404</v>
      </c>
      <c r="L640">
        <v>222</v>
      </c>
      <c r="M640">
        <v>40</v>
      </c>
      <c r="N640" t="s">
        <v>47</v>
      </c>
      <c r="O640">
        <v>401</v>
      </c>
    </row>
    <row r="641" spans="1:15" x14ac:dyDescent="0.3">
      <c r="A641">
        <v>640</v>
      </c>
      <c r="B641" t="s">
        <v>675</v>
      </c>
      <c r="C641">
        <v>57</v>
      </c>
      <c r="D641" t="s">
        <v>29</v>
      </c>
      <c r="E641" t="s">
        <v>25</v>
      </c>
      <c r="F641" t="s">
        <v>31</v>
      </c>
      <c r="G641" t="s">
        <v>19</v>
      </c>
      <c r="H641">
        <v>8</v>
      </c>
      <c r="I641">
        <v>12000</v>
      </c>
      <c r="J641" s="1">
        <v>45036</v>
      </c>
      <c r="K641" s="1">
        <v>45202</v>
      </c>
      <c r="L641">
        <v>520</v>
      </c>
      <c r="M641">
        <v>242</v>
      </c>
      <c r="N641" t="s">
        <v>20</v>
      </c>
      <c r="O641">
        <v>166</v>
      </c>
    </row>
    <row r="642" spans="1:15" x14ac:dyDescent="0.3">
      <c r="A642">
        <v>641</v>
      </c>
      <c r="B642" t="s">
        <v>676</v>
      </c>
      <c r="C642">
        <v>46</v>
      </c>
      <c r="D642" t="s">
        <v>16</v>
      </c>
      <c r="E642" t="s">
        <v>36</v>
      </c>
      <c r="F642" t="s">
        <v>31</v>
      </c>
      <c r="G642" t="s">
        <v>19</v>
      </c>
      <c r="H642">
        <v>2</v>
      </c>
      <c r="I642">
        <v>49200</v>
      </c>
      <c r="J642" s="1">
        <v>44673</v>
      </c>
      <c r="K642" s="1">
        <v>45023</v>
      </c>
      <c r="L642">
        <v>136</v>
      </c>
      <c r="M642">
        <v>421</v>
      </c>
      <c r="N642" t="s">
        <v>20</v>
      </c>
      <c r="O642">
        <v>350</v>
      </c>
    </row>
    <row r="643" spans="1:15" x14ac:dyDescent="0.3">
      <c r="A643">
        <v>642</v>
      </c>
      <c r="B643" t="s">
        <v>677</v>
      </c>
      <c r="C643">
        <v>26</v>
      </c>
      <c r="D643" t="s">
        <v>22</v>
      </c>
      <c r="E643" t="s">
        <v>30</v>
      </c>
      <c r="F643" t="s">
        <v>26</v>
      </c>
      <c r="G643" t="s">
        <v>19</v>
      </c>
      <c r="H643">
        <v>4</v>
      </c>
      <c r="I643">
        <v>38800</v>
      </c>
      <c r="J643" s="1">
        <v>44704</v>
      </c>
      <c r="K643" s="1">
        <v>45158</v>
      </c>
      <c r="L643">
        <v>188</v>
      </c>
      <c r="M643">
        <v>286</v>
      </c>
      <c r="N643" t="s">
        <v>20</v>
      </c>
      <c r="O643">
        <v>454</v>
      </c>
    </row>
    <row r="644" spans="1:15" x14ac:dyDescent="0.3">
      <c r="A644">
        <v>643</v>
      </c>
      <c r="B644" t="s">
        <v>678</v>
      </c>
      <c r="C644">
        <v>55</v>
      </c>
      <c r="D644" t="s">
        <v>63</v>
      </c>
      <c r="E644" t="s">
        <v>25</v>
      </c>
      <c r="F644" t="s">
        <v>31</v>
      </c>
      <c r="G644" t="s">
        <v>33</v>
      </c>
      <c r="H644">
        <v>5</v>
      </c>
      <c r="I644">
        <v>13000</v>
      </c>
      <c r="J644" s="1">
        <v>45153</v>
      </c>
      <c r="K644" s="1">
        <v>45381</v>
      </c>
      <c r="L644">
        <v>210</v>
      </c>
      <c r="M644">
        <v>63</v>
      </c>
      <c r="N644" t="s">
        <v>47</v>
      </c>
      <c r="O644">
        <v>228</v>
      </c>
    </row>
    <row r="645" spans="1:15" x14ac:dyDescent="0.3">
      <c r="A645">
        <v>644</v>
      </c>
      <c r="B645" t="s">
        <v>679</v>
      </c>
      <c r="C645">
        <v>64</v>
      </c>
      <c r="D645" t="s">
        <v>40</v>
      </c>
      <c r="E645" t="s">
        <v>30</v>
      </c>
      <c r="F645" t="s">
        <v>18</v>
      </c>
      <c r="G645" t="s">
        <v>27</v>
      </c>
      <c r="H645">
        <v>5</v>
      </c>
      <c r="I645">
        <v>33000</v>
      </c>
      <c r="J645" s="1">
        <v>44914</v>
      </c>
      <c r="K645" s="1">
        <v>44959</v>
      </c>
      <c r="L645">
        <v>3135</v>
      </c>
      <c r="M645">
        <v>485</v>
      </c>
      <c r="N645" t="s">
        <v>20</v>
      </c>
      <c r="O645">
        <v>45</v>
      </c>
    </row>
    <row r="646" spans="1:15" x14ac:dyDescent="0.3">
      <c r="A646">
        <v>645</v>
      </c>
      <c r="B646" t="s">
        <v>680</v>
      </c>
      <c r="C646">
        <v>24</v>
      </c>
      <c r="D646" t="s">
        <v>63</v>
      </c>
      <c r="E646" t="s">
        <v>36</v>
      </c>
      <c r="F646" t="s">
        <v>31</v>
      </c>
      <c r="G646" t="s">
        <v>19</v>
      </c>
      <c r="H646">
        <v>6</v>
      </c>
      <c r="I646">
        <v>138000</v>
      </c>
      <c r="J646" s="1">
        <v>44616</v>
      </c>
      <c r="K646" s="1">
        <v>44616</v>
      </c>
      <c r="L646">
        <v>390</v>
      </c>
      <c r="M646">
        <v>828</v>
      </c>
      <c r="N646" t="s">
        <v>20</v>
      </c>
      <c r="O646">
        <v>0</v>
      </c>
    </row>
    <row r="647" spans="1:15" x14ac:dyDescent="0.3">
      <c r="A647">
        <v>646</v>
      </c>
      <c r="B647" t="s">
        <v>681</v>
      </c>
      <c r="C647">
        <v>36</v>
      </c>
      <c r="D647" t="s">
        <v>29</v>
      </c>
      <c r="E647" t="s">
        <v>17</v>
      </c>
      <c r="F647" t="s">
        <v>18</v>
      </c>
      <c r="G647" t="s">
        <v>19</v>
      </c>
      <c r="H647">
        <v>7</v>
      </c>
      <c r="I647">
        <v>13300</v>
      </c>
      <c r="J647" s="1">
        <v>44965</v>
      </c>
      <c r="K647" s="1">
        <v>45285</v>
      </c>
      <c r="L647">
        <v>4270</v>
      </c>
      <c r="M647">
        <v>159</v>
      </c>
      <c r="N647" t="s">
        <v>47</v>
      </c>
      <c r="O647">
        <v>320</v>
      </c>
    </row>
    <row r="648" spans="1:15" x14ac:dyDescent="0.3">
      <c r="A648">
        <v>647</v>
      </c>
      <c r="B648" t="s">
        <v>682</v>
      </c>
      <c r="C648">
        <v>55</v>
      </c>
      <c r="D648" t="s">
        <v>22</v>
      </c>
      <c r="E648" t="s">
        <v>36</v>
      </c>
      <c r="F648" t="s">
        <v>26</v>
      </c>
      <c r="G648" t="s">
        <v>33</v>
      </c>
      <c r="H648">
        <v>4</v>
      </c>
      <c r="I648">
        <v>42800</v>
      </c>
      <c r="J648" s="1">
        <v>45048</v>
      </c>
      <c r="K648" s="1">
        <v>45119</v>
      </c>
      <c r="L648">
        <v>88</v>
      </c>
      <c r="M648">
        <v>325</v>
      </c>
      <c r="N648" t="s">
        <v>20</v>
      </c>
      <c r="O648">
        <v>71</v>
      </c>
    </row>
    <row r="649" spans="1:15" x14ac:dyDescent="0.3">
      <c r="A649">
        <v>648</v>
      </c>
      <c r="B649" t="s">
        <v>683</v>
      </c>
      <c r="C649">
        <v>39</v>
      </c>
      <c r="D649" t="s">
        <v>22</v>
      </c>
      <c r="E649" t="s">
        <v>30</v>
      </c>
      <c r="F649" t="s">
        <v>26</v>
      </c>
      <c r="G649" t="s">
        <v>19</v>
      </c>
      <c r="H649">
        <v>3</v>
      </c>
      <c r="I649">
        <v>12300</v>
      </c>
      <c r="J649" s="1">
        <v>44573</v>
      </c>
      <c r="K649" s="1">
        <v>44609</v>
      </c>
      <c r="L649">
        <v>33</v>
      </c>
      <c r="M649">
        <v>835</v>
      </c>
      <c r="N649" t="s">
        <v>20</v>
      </c>
      <c r="O649">
        <v>36</v>
      </c>
    </row>
    <row r="650" spans="1:15" x14ac:dyDescent="0.3">
      <c r="A650">
        <v>649</v>
      </c>
      <c r="B650" t="s">
        <v>684</v>
      </c>
      <c r="C650">
        <v>26</v>
      </c>
      <c r="D650" t="s">
        <v>52</v>
      </c>
      <c r="E650" t="s">
        <v>36</v>
      </c>
      <c r="F650" t="s">
        <v>26</v>
      </c>
      <c r="G650" t="s">
        <v>19</v>
      </c>
      <c r="H650">
        <v>3</v>
      </c>
      <c r="I650">
        <v>55800</v>
      </c>
      <c r="J650" s="1">
        <v>45028</v>
      </c>
      <c r="K650" s="1">
        <v>45485</v>
      </c>
      <c r="L650">
        <v>144</v>
      </c>
      <c r="M650">
        <v>-41</v>
      </c>
      <c r="N650" t="s">
        <v>47</v>
      </c>
      <c r="O650">
        <v>457</v>
      </c>
    </row>
    <row r="651" spans="1:15" x14ac:dyDescent="0.3">
      <c r="A651">
        <v>650</v>
      </c>
      <c r="B651" t="s">
        <v>685</v>
      </c>
      <c r="C651">
        <v>48</v>
      </c>
      <c r="D651" t="s">
        <v>22</v>
      </c>
      <c r="E651" t="s">
        <v>25</v>
      </c>
      <c r="F651" t="s">
        <v>26</v>
      </c>
      <c r="G651" t="s">
        <v>27</v>
      </c>
      <c r="H651">
        <v>9</v>
      </c>
      <c r="I651">
        <v>39600</v>
      </c>
      <c r="J651" s="1">
        <v>45022</v>
      </c>
      <c r="K651" s="1">
        <v>45218</v>
      </c>
      <c r="L651">
        <v>288</v>
      </c>
      <c r="M651">
        <v>226</v>
      </c>
      <c r="N651" t="s">
        <v>20</v>
      </c>
      <c r="O651">
        <v>196</v>
      </c>
    </row>
    <row r="652" spans="1:15" x14ac:dyDescent="0.3">
      <c r="A652">
        <v>651</v>
      </c>
      <c r="B652" t="s">
        <v>686</v>
      </c>
      <c r="C652">
        <v>21</v>
      </c>
      <c r="D652" t="s">
        <v>40</v>
      </c>
      <c r="E652" t="s">
        <v>25</v>
      </c>
      <c r="F652" t="s">
        <v>26</v>
      </c>
      <c r="G652" t="s">
        <v>27</v>
      </c>
      <c r="H652">
        <v>10</v>
      </c>
      <c r="I652">
        <v>30000</v>
      </c>
      <c r="J652" s="1">
        <v>44804</v>
      </c>
      <c r="K652" s="1">
        <v>45168</v>
      </c>
      <c r="L652">
        <v>420</v>
      </c>
      <c r="M652">
        <v>276</v>
      </c>
      <c r="N652" t="s">
        <v>20</v>
      </c>
      <c r="O652">
        <v>364</v>
      </c>
    </row>
    <row r="653" spans="1:15" x14ac:dyDescent="0.3">
      <c r="A653">
        <v>652</v>
      </c>
      <c r="B653" t="s">
        <v>687</v>
      </c>
      <c r="C653">
        <v>23</v>
      </c>
      <c r="D653" t="s">
        <v>38</v>
      </c>
      <c r="E653" t="s">
        <v>36</v>
      </c>
      <c r="F653" t="s">
        <v>18</v>
      </c>
      <c r="G653" t="s">
        <v>19</v>
      </c>
      <c r="H653">
        <v>10</v>
      </c>
      <c r="I653">
        <v>208000</v>
      </c>
      <c r="J653" s="1">
        <v>44939</v>
      </c>
      <c r="K653" s="1">
        <v>44996</v>
      </c>
      <c r="L653">
        <v>6270</v>
      </c>
      <c r="M653">
        <v>448</v>
      </c>
      <c r="N653" t="s">
        <v>20</v>
      </c>
      <c r="O653">
        <v>57</v>
      </c>
    </row>
    <row r="654" spans="1:15" x14ac:dyDescent="0.3">
      <c r="A654">
        <v>653</v>
      </c>
      <c r="B654" t="s">
        <v>688</v>
      </c>
      <c r="C654">
        <v>38</v>
      </c>
      <c r="D654" t="s">
        <v>46</v>
      </c>
      <c r="E654" t="s">
        <v>17</v>
      </c>
      <c r="F654" t="s">
        <v>31</v>
      </c>
      <c r="G654" t="s">
        <v>27</v>
      </c>
      <c r="H654">
        <v>8</v>
      </c>
      <c r="I654">
        <v>12800</v>
      </c>
      <c r="J654" s="1">
        <v>44642</v>
      </c>
      <c r="K654" s="1">
        <v>44909</v>
      </c>
      <c r="L654">
        <v>552</v>
      </c>
      <c r="M654">
        <v>535</v>
      </c>
      <c r="N654" t="s">
        <v>20</v>
      </c>
      <c r="O654">
        <v>267</v>
      </c>
    </row>
    <row r="655" spans="1:15" x14ac:dyDescent="0.3">
      <c r="A655">
        <v>654</v>
      </c>
      <c r="B655" t="s">
        <v>689</v>
      </c>
      <c r="C655">
        <v>64</v>
      </c>
      <c r="D655" t="s">
        <v>16</v>
      </c>
      <c r="E655" t="s">
        <v>25</v>
      </c>
      <c r="F655" t="s">
        <v>26</v>
      </c>
      <c r="G655" t="s">
        <v>19</v>
      </c>
      <c r="H655">
        <v>9</v>
      </c>
      <c r="I655">
        <v>38700</v>
      </c>
      <c r="J655" s="1">
        <v>45155</v>
      </c>
      <c r="K655" s="1">
        <v>45314</v>
      </c>
      <c r="L655">
        <v>441</v>
      </c>
      <c r="M655">
        <v>130</v>
      </c>
      <c r="N655" t="s">
        <v>47</v>
      </c>
      <c r="O655">
        <v>159</v>
      </c>
    </row>
    <row r="656" spans="1:15" x14ac:dyDescent="0.3">
      <c r="A656">
        <v>655</v>
      </c>
      <c r="B656" t="s">
        <v>690</v>
      </c>
      <c r="C656">
        <v>50</v>
      </c>
      <c r="D656" t="s">
        <v>63</v>
      </c>
      <c r="E656" t="s">
        <v>30</v>
      </c>
      <c r="F656" t="s">
        <v>23</v>
      </c>
      <c r="G656" t="s">
        <v>33</v>
      </c>
      <c r="H656">
        <v>9</v>
      </c>
      <c r="I656">
        <v>61200</v>
      </c>
      <c r="J656" s="1">
        <v>45149</v>
      </c>
      <c r="K656" s="1">
        <v>45524</v>
      </c>
      <c r="L656">
        <v>1179</v>
      </c>
      <c r="M656">
        <v>-80</v>
      </c>
      <c r="N656" t="s">
        <v>47</v>
      </c>
      <c r="O656">
        <v>375</v>
      </c>
    </row>
    <row r="657" spans="1:15" x14ac:dyDescent="0.3">
      <c r="A657">
        <v>656</v>
      </c>
      <c r="B657" t="s">
        <v>691</v>
      </c>
      <c r="C657">
        <v>31</v>
      </c>
      <c r="D657" t="s">
        <v>22</v>
      </c>
      <c r="E657" t="s">
        <v>30</v>
      </c>
      <c r="F657" t="s">
        <v>18</v>
      </c>
      <c r="G657" t="s">
        <v>19</v>
      </c>
      <c r="H657">
        <v>1</v>
      </c>
      <c r="I657">
        <v>8700</v>
      </c>
      <c r="J657" s="1">
        <v>44873</v>
      </c>
      <c r="K657" s="1">
        <v>45245</v>
      </c>
      <c r="L657">
        <v>626</v>
      </c>
      <c r="M657">
        <v>199</v>
      </c>
      <c r="N657" t="s">
        <v>20</v>
      </c>
      <c r="O657">
        <v>372</v>
      </c>
    </row>
    <row r="658" spans="1:15" x14ac:dyDescent="0.3">
      <c r="A658">
        <v>657</v>
      </c>
      <c r="B658" t="s">
        <v>692</v>
      </c>
      <c r="C658">
        <v>31</v>
      </c>
      <c r="D658" t="s">
        <v>38</v>
      </c>
      <c r="E658" t="s">
        <v>17</v>
      </c>
      <c r="F658" t="s">
        <v>26</v>
      </c>
      <c r="G658" t="s">
        <v>27</v>
      </c>
      <c r="H658">
        <v>10</v>
      </c>
      <c r="I658">
        <v>6000</v>
      </c>
      <c r="J658" s="1">
        <v>44860</v>
      </c>
      <c r="K658" s="1">
        <v>45274</v>
      </c>
      <c r="L658">
        <v>490</v>
      </c>
      <c r="M658">
        <v>170</v>
      </c>
      <c r="N658" t="s">
        <v>47</v>
      </c>
      <c r="O658">
        <v>414</v>
      </c>
    </row>
    <row r="659" spans="1:15" x14ac:dyDescent="0.3">
      <c r="A659">
        <v>658</v>
      </c>
      <c r="B659" t="s">
        <v>693</v>
      </c>
      <c r="C659">
        <v>29</v>
      </c>
      <c r="D659" t="s">
        <v>63</v>
      </c>
      <c r="E659" t="s">
        <v>30</v>
      </c>
      <c r="F659" t="s">
        <v>26</v>
      </c>
      <c r="G659" t="s">
        <v>19</v>
      </c>
      <c r="H659">
        <v>9</v>
      </c>
      <c r="I659">
        <v>32400</v>
      </c>
      <c r="J659" s="1">
        <v>44846</v>
      </c>
      <c r="K659" s="1">
        <v>44975</v>
      </c>
      <c r="L659">
        <v>162</v>
      </c>
      <c r="M659">
        <v>469</v>
      </c>
      <c r="N659" t="s">
        <v>20</v>
      </c>
      <c r="O659">
        <v>129</v>
      </c>
    </row>
    <row r="660" spans="1:15" x14ac:dyDescent="0.3">
      <c r="A660">
        <v>659</v>
      </c>
      <c r="B660" t="s">
        <v>694</v>
      </c>
      <c r="C660">
        <v>28</v>
      </c>
      <c r="D660" t="s">
        <v>38</v>
      </c>
      <c r="E660" t="s">
        <v>30</v>
      </c>
      <c r="F660" t="s">
        <v>18</v>
      </c>
      <c r="G660" t="s">
        <v>19</v>
      </c>
      <c r="H660">
        <v>10</v>
      </c>
      <c r="I660">
        <v>44000</v>
      </c>
      <c r="J660" s="1">
        <v>44716</v>
      </c>
      <c r="K660" s="1">
        <v>45053</v>
      </c>
      <c r="L660">
        <v>6180</v>
      </c>
      <c r="M660">
        <v>391</v>
      </c>
      <c r="N660" t="s">
        <v>20</v>
      </c>
      <c r="O660">
        <v>337</v>
      </c>
    </row>
    <row r="661" spans="1:15" x14ac:dyDescent="0.3">
      <c r="A661">
        <v>660</v>
      </c>
      <c r="B661" t="s">
        <v>695</v>
      </c>
      <c r="C661">
        <v>52</v>
      </c>
      <c r="D661" t="s">
        <v>29</v>
      </c>
      <c r="E661" t="s">
        <v>25</v>
      </c>
      <c r="F661" t="s">
        <v>18</v>
      </c>
      <c r="G661" t="s">
        <v>19</v>
      </c>
      <c r="H661">
        <v>3</v>
      </c>
      <c r="I661">
        <v>12900</v>
      </c>
      <c r="J661" s="1">
        <v>45102</v>
      </c>
      <c r="K661" s="1">
        <v>45543</v>
      </c>
      <c r="L661">
        <v>1776</v>
      </c>
      <c r="M661">
        <v>-99</v>
      </c>
      <c r="N661" t="s">
        <v>47</v>
      </c>
      <c r="O661">
        <v>441</v>
      </c>
    </row>
    <row r="662" spans="1:15" x14ac:dyDescent="0.3">
      <c r="A662">
        <v>661</v>
      </c>
      <c r="B662" t="s">
        <v>696</v>
      </c>
      <c r="C662">
        <v>30</v>
      </c>
      <c r="D662" t="s">
        <v>29</v>
      </c>
      <c r="E662" t="s">
        <v>17</v>
      </c>
      <c r="F662" t="s">
        <v>31</v>
      </c>
      <c r="G662" t="s">
        <v>27</v>
      </c>
      <c r="H662">
        <v>8</v>
      </c>
      <c r="I662">
        <v>10400</v>
      </c>
      <c r="J662" s="1">
        <v>44954</v>
      </c>
      <c r="K662" s="1">
        <v>45075</v>
      </c>
      <c r="L662">
        <v>464</v>
      </c>
      <c r="M662">
        <v>369</v>
      </c>
      <c r="N662" t="s">
        <v>20</v>
      </c>
      <c r="O662">
        <v>121</v>
      </c>
    </row>
    <row r="663" spans="1:15" x14ac:dyDescent="0.3">
      <c r="A663">
        <v>662</v>
      </c>
      <c r="B663" t="s">
        <v>697</v>
      </c>
      <c r="C663">
        <v>62</v>
      </c>
      <c r="D663" t="s">
        <v>52</v>
      </c>
      <c r="E663" t="s">
        <v>25</v>
      </c>
      <c r="F663" t="s">
        <v>18</v>
      </c>
      <c r="G663" t="s">
        <v>19</v>
      </c>
      <c r="H663">
        <v>5</v>
      </c>
      <c r="I663">
        <v>20500</v>
      </c>
      <c r="J663" s="1">
        <v>44680</v>
      </c>
      <c r="K663" s="1">
        <v>44706</v>
      </c>
      <c r="L663">
        <v>3000</v>
      </c>
      <c r="M663">
        <v>738</v>
      </c>
      <c r="N663" t="s">
        <v>20</v>
      </c>
      <c r="O663">
        <v>26</v>
      </c>
    </row>
    <row r="664" spans="1:15" x14ac:dyDescent="0.3">
      <c r="A664">
        <v>663</v>
      </c>
      <c r="B664" t="s">
        <v>698</v>
      </c>
      <c r="C664">
        <v>51</v>
      </c>
      <c r="D664" t="s">
        <v>46</v>
      </c>
      <c r="E664" t="s">
        <v>36</v>
      </c>
      <c r="F664" t="s">
        <v>26</v>
      </c>
      <c r="G664" t="s">
        <v>19</v>
      </c>
      <c r="H664">
        <v>9</v>
      </c>
      <c r="I664">
        <v>114300</v>
      </c>
      <c r="J664" s="1">
        <v>44950</v>
      </c>
      <c r="K664" s="1">
        <v>45299</v>
      </c>
      <c r="L664">
        <v>306</v>
      </c>
      <c r="M664">
        <v>145</v>
      </c>
      <c r="N664" t="s">
        <v>47</v>
      </c>
      <c r="O664">
        <v>349</v>
      </c>
    </row>
    <row r="665" spans="1:15" x14ac:dyDescent="0.3">
      <c r="A665">
        <v>664</v>
      </c>
      <c r="B665" t="s">
        <v>699</v>
      </c>
      <c r="C665">
        <v>48</v>
      </c>
      <c r="D665" t="s">
        <v>46</v>
      </c>
      <c r="E665" t="s">
        <v>30</v>
      </c>
      <c r="F665" t="s">
        <v>31</v>
      </c>
      <c r="G665" t="s">
        <v>27</v>
      </c>
      <c r="H665">
        <v>1</v>
      </c>
      <c r="I665">
        <v>5400</v>
      </c>
      <c r="J665" s="1">
        <v>45021</v>
      </c>
      <c r="K665" s="1">
        <v>45216</v>
      </c>
      <c r="L665">
        <v>50</v>
      </c>
      <c r="M665">
        <v>228</v>
      </c>
      <c r="N665" t="s">
        <v>20</v>
      </c>
      <c r="O665">
        <v>195</v>
      </c>
    </row>
    <row r="666" spans="1:15" x14ac:dyDescent="0.3">
      <c r="A666">
        <v>665</v>
      </c>
      <c r="B666" t="s">
        <v>700</v>
      </c>
      <c r="C666">
        <v>60</v>
      </c>
      <c r="D666" t="s">
        <v>63</v>
      </c>
      <c r="E666" t="s">
        <v>17</v>
      </c>
      <c r="F666" t="s">
        <v>18</v>
      </c>
      <c r="G666" t="s">
        <v>33</v>
      </c>
      <c r="H666">
        <v>5</v>
      </c>
      <c r="I666">
        <v>6000</v>
      </c>
      <c r="J666" s="1">
        <v>44838</v>
      </c>
      <c r="K666" s="1">
        <v>44974</v>
      </c>
      <c r="L666">
        <v>2980</v>
      </c>
      <c r="M666">
        <v>470</v>
      </c>
      <c r="N666" t="s">
        <v>20</v>
      </c>
      <c r="O666">
        <v>136</v>
      </c>
    </row>
    <row r="667" spans="1:15" x14ac:dyDescent="0.3">
      <c r="A667">
        <v>666</v>
      </c>
      <c r="B667" t="s">
        <v>701</v>
      </c>
      <c r="C667">
        <v>64</v>
      </c>
      <c r="D667" t="s">
        <v>38</v>
      </c>
      <c r="E667" t="s">
        <v>36</v>
      </c>
      <c r="F667" t="s">
        <v>26</v>
      </c>
      <c r="G667" t="s">
        <v>19</v>
      </c>
      <c r="H667">
        <v>10</v>
      </c>
      <c r="I667">
        <v>114000</v>
      </c>
      <c r="J667" s="1">
        <v>45094</v>
      </c>
      <c r="K667" s="1">
        <v>45266</v>
      </c>
      <c r="L667">
        <v>210</v>
      </c>
      <c r="M667">
        <v>178</v>
      </c>
      <c r="N667" t="s">
        <v>47</v>
      </c>
      <c r="O667">
        <v>172</v>
      </c>
    </row>
    <row r="668" spans="1:15" x14ac:dyDescent="0.3">
      <c r="A668">
        <v>667</v>
      </c>
      <c r="B668" t="s">
        <v>702</v>
      </c>
      <c r="C668">
        <v>21</v>
      </c>
      <c r="D668" t="s">
        <v>29</v>
      </c>
      <c r="E668" t="s">
        <v>17</v>
      </c>
      <c r="F668" t="s">
        <v>23</v>
      </c>
      <c r="G668" t="s">
        <v>19</v>
      </c>
      <c r="H668">
        <v>7</v>
      </c>
      <c r="I668">
        <v>4900</v>
      </c>
      <c r="J668" s="1">
        <v>45099</v>
      </c>
      <c r="K668" s="1">
        <v>45152</v>
      </c>
      <c r="L668">
        <v>966</v>
      </c>
      <c r="M668">
        <v>292</v>
      </c>
      <c r="N668" t="s">
        <v>20</v>
      </c>
      <c r="O668">
        <v>53</v>
      </c>
    </row>
    <row r="669" spans="1:15" x14ac:dyDescent="0.3">
      <c r="A669">
        <v>668</v>
      </c>
      <c r="B669" t="s">
        <v>703</v>
      </c>
      <c r="C669">
        <v>33</v>
      </c>
      <c r="D669" t="s">
        <v>29</v>
      </c>
      <c r="E669" t="s">
        <v>25</v>
      </c>
      <c r="F669" t="s">
        <v>18</v>
      </c>
      <c r="G669" t="s">
        <v>19</v>
      </c>
      <c r="H669">
        <v>1</v>
      </c>
      <c r="I669">
        <v>1100</v>
      </c>
      <c r="J669" s="1">
        <v>44656</v>
      </c>
      <c r="K669" s="1">
        <v>44685</v>
      </c>
      <c r="L669">
        <v>628</v>
      </c>
      <c r="M669">
        <v>759</v>
      </c>
      <c r="N669" t="s">
        <v>20</v>
      </c>
      <c r="O669">
        <v>29</v>
      </c>
    </row>
    <row r="670" spans="1:15" x14ac:dyDescent="0.3">
      <c r="A670">
        <v>669</v>
      </c>
      <c r="B670" t="s">
        <v>704</v>
      </c>
      <c r="C670">
        <v>59</v>
      </c>
      <c r="D670" t="s">
        <v>40</v>
      </c>
      <c r="E670" t="s">
        <v>17</v>
      </c>
      <c r="F670" t="s">
        <v>23</v>
      </c>
      <c r="G670" t="s">
        <v>19</v>
      </c>
      <c r="H670">
        <v>3</v>
      </c>
      <c r="I670">
        <v>3900</v>
      </c>
      <c r="J670" s="1">
        <v>45141</v>
      </c>
      <c r="K670" s="1">
        <v>45552</v>
      </c>
      <c r="L670">
        <v>363</v>
      </c>
      <c r="M670">
        <v>-108</v>
      </c>
      <c r="N670" t="s">
        <v>47</v>
      </c>
      <c r="O670">
        <v>411</v>
      </c>
    </row>
    <row r="671" spans="1:15" x14ac:dyDescent="0.3">
      <c r="A671">
        <v>670</v>
      </c>
      <c r="B671" t="s">
        <v>705</v>
      </c>
      <c r="C671">
        <v>50</v>
      </c>
      <c r="D671" t="s">
        <v>16</v>
      </c>
      <c r="E671" t="s">
        <v>25</v>
      </c>
      <c r="F671" t="s">
        <v>18</v>
      </c>
      <c r="G671" t="s">
        <v>19</v>
      </c>
      <c r="H671">
        <v>2</v>
      </c>
      <c r="I671">
        <v>7200</v>
      </c>
      <c r="J671" s="1">
        <v>45026</v>
      </c>
      <c r="K671" s="1">
        <v>45498</v>
      </c>
      <c r="L671">
        <v>1214</v>
      </c>
      <c r="M671">
        <v>-54</v>
      </c>
      <c r="N671" t="s">
        <v>47</v>
      </c>
      <c r="O671">
        <v>472</v>
      </c>
    </row>
    <row r="672" spans="1:15" x14ac:dyDescent="0.3">
      <c r="A672">
        <v>671</v>
      </c>
      <c r="B672" t="s">
        <v>706</v>
      </c>
      <c r="C672">
        <v>25</v>
      </c>
      <c r="D672" t="s">
        <v>22</v>
      </c>
      <c r="E672" t="s">
        <v>30</v>
      </c>
      <c r="F672" t="s">
        <v>18</v>
      </c>
      <c r="G672" t="s">
        <v>19</v>
      </c>
      <c r="H672">
        <v>5</v>
      </c>
      <c r="I672">
        <v>47000</v>
      </c>
      <c r="J672" s="1">
        <v>44625</v>
      </c>
      <c r="K672" s="1">
        <v>44820</v>
      </c>
      <c r="L672">
        <v>3070</v>
      </c>
      <c r="M672">
        <v>624</v>
      </c>
      <c r="N672" t="s">
        <v>20</v>
      </c>
      <c r="O672">
        <v>195</v>
      </c>
    </row>
    <row r="673" spans="1:15" x14ac:dyDescent="0.3">
      <c r="A673">
        <v>672</v>
      </c>
      <c r="B673" t="s">
        <v>707</v>
      </c>
      <c r="C673">
        <v>32</v>
      </c>
      <c r="D673" t="s">
        <v>29</v>
      </c>
      <c r="E673" t="s">
        <v>17</v>
      </c>
      <c r="F673" t="s">
        <v>18</v>
      </c>
      <c r="G673" t="s">
        <v>19</v>
      </c>
      <c r="H673">
        <v>8</v>
      </c>
      <c r="I673">
        <v>4800</v>
      </c>
      <c r="J673" s="1">
        <v>45065</v>
      </c>
      <c r="K673" s="1">
        <v>45540</v>
      </c>
      <c r="L673">
        <v>4816</v>
      </c>
      <c r="M673">
        <v>-96</v>
      </c>
      <c r="N673" t="s">
        <v>47</v>
      </c>
      <c r="O673">
        <v>475</v>
      </c>
    </row>
    <row r="674" spans="1:15" x14ac:dyDescent="0.3">
      <c r="A674">
        <v>673</v>
      </c>
      <c r="B674" t="s">
        <v>708</v>
      </c>
      <c r="C674">
        <v>30</v>
      </c>
      <c r="D674" t="s">
        <v>22</v>
      </c>
      <c r="E674" t="s">
        <v>25</v>
      </c>
      <c r="F674" t="s">
        <v>26</v>
      </c>
      <c r="G674" t="s">
        <v>19</v>
      </c>
      <c r="H674">
        <v>9</v>
      </c>
      <c r="I674">
        <v>36900</v>
      </c>
      <c r="J674" s="1">
        <v>45003</v>
      </c>
      <c r="K674" s="1">
        <v>45114</v>
      </c>
      <c r="L674">
        <v>441</v>
      </c>
      <c r="M674">
        <v>330</v>
      </c>
      <c r="N674" t="s">
        <v>20</v>
      </c>
      <c r="O674">
        <v>111</v>
      </c>
    </row>
    <row r="675" spans="1:15" x14ac:dyDescent="0.3">
      <c r="A675">
        <v>674</v>
      </c>
      <c r="B675" t="s">
        <v>709</v>
      </c>
      <c r="C675">
        <v>23</v>
      </c>
      <c r="D675" t="s">
        <v>16</v>
      </c>
      <c r="E675" t="s">
        <v>36</v>
      </c>
      <c r="F675" t="s">
        <v>18</v>
      </c>
      <c r="G675" t="s">
        <v>19</v>
      </c>
      <c r="H675">
        <v>2</v>
      </c>
      <c r="I675">
        <v>14600</v>
      </c>
      <c r="J675" s="1">
        <v>45147</v>
      </c>
      <c r="K675" s="1">
        <v>45519</v>
      </c>
      <c r="L675">
        <v>1212</v>
      </c>
      <c r="M675">
        <v>-75</v>
      </c>
      <c r="N675" t="s">
        <v>47</v>
      </c>
      <c r="O675">
        <v>372</v>
      </c>
    </row>
    <row r="676" spans="1:15" x14ac:dyDescent="0.3">
      <c r="A676">
        <v>675</v>
      </c>
      <c r="B676" t="s">
        <v>710</v>
      </c>
      <c r="C676">
        <v>62</v>
      </c>
      <c r="D676" t="s">
        <v>46</v>
      </c>
      <c r="E676" t="s">
        <v>17</v>
      </c>
      <c r="F676" t="s">
        <v>26</v>
      </c>
      <c r="G676" t="s">
        <v>19</v>
      </c>
      <c r="H676">
        <v>1</v>
      </c>
      <c r="I676">
        <v>600</v>
      </c>
      <c r="J676" s="1">
        <v>44961</v>
      </c>
      <c r="K676" s="1">
        <v>45097</v>
      </c>
      <c r="L676">
        <v>19</v>
      </c>
      <c r="M676">
        <v>347</v>
      </c>
      <c r="N676" t="s">
        <v>20</v>
      </c>
      <c r="O676">
        <v>136</v>
      </c>
    </row>
    <row r="677" spans="1:15" x14ac:dyDescent="0.3">
      <c r="A677">
        <v>676</v>
      </c>
      <c r="B677" t="s">
        <v>711</v>
      </c>
      <c r="C677">
        <v>52</v>
      </c>
      <c r="D677" t="s">
        <v>29</v>
      </c>
      <c r="E677" t="s">
        <v>36</v>
      </c>
      <c r="F677" t="s">
        <v>23</v>
      </c>
      <c r="G677" t="s">
        <v>27</v>
      </c>
      <c r="H677">
        <v>8</v>
      </c>
      <c r="I677">
        <v>154400</v>
      </c>
      <c r="J677" s="1">
        <v>44975</v>
      </c>
      <c r="K677" s="1">
        <v>45407</v>
      </c>
      <c r="L677">
        <v>912</v>
      </c>
      <c r="M677">
        <v>37</v>
      </c>
      <c r="N677" t="s">
        <v>47</v>
      </c>
      <c r="O677">
        <v>432</v>
      </c>
    </row>
    <row r="678" spans="1:15" x14ac:dyDescent="0.3">
      <c r="A678">
        <v>677</v>
      </c>
      <c r="B678" t="s">
        <v>712</v>
      </c>
      <c r="C678">
        <v>28</v>
      </c>
      <c r="D678" t="s">
        <v>40</v>
      </c>
      <c r="E678" t="s">
        <v>17</v>
      </c>
      <c r="F678" t="s">
        <v>26</v>
      </c>
      <c r="G678" t="s">
        <v>33</v>
      </c>
      <c r="H678">
        <v>10</v>
      </c>
      <c r="I678">
        <v>16000</v>
      </c>
      <c r="J678" s="1">
        <v>44929</v>
      </c>
      <c r="K678" s="1">
        <v>45099</v>
      </c>
      <c r="L678">
        <v>290</v>
      </c>
      <c r="M678">
        <v>345</v>
      </c>
      <c r="N678" t="s">
        <v>20</v>
      </c>
      <c r="O678">
        <v>170</v>
      </c>
    </row>
    <row r="679" spans="1:15" x14ac:dyDescent="0.3">
      <c r="A679">
        <v>678</v>
      </c>
      <c r="B679" t="s">
        <v>713</v>
      </c>
      <c r="C679">
        <v>55</v>
      </c>
      <c r="D679" t="s">
        <v>22</v>
      </c>
      <c r="E679" t="s">
        <v>17</v>
      </c>
      <c r="F679" t="s">
        <v>23</v>
      </c>
      <c r="G679" t="s">
        <v>19</v>
      </c>
      <c r="H679">
        <v>6</v>
      </c>
      <c r="I679">
        <v>4200</v>
      </c>
      <c r="J679" s="1">
        <v>45032</v>
      </c>
      <c r="K679" s="1">
        <v>45421</v>
      </c>
      <c r="L679">
        <v>768</v>
      </c>
      <c r="M679">
        <v>23</v>
      </c>
      <c r="N679" t="s">
        <v>47</v>
      </c>
      <c r="O679">
        <v>389</v>
      </c>
    </row>
    <row r="680" spans="1:15" x14ac:dyDescent="0.3">
      <c r="A680">
        <v>679</v>
      </c>
      <c r="B680" t="s">
        <v>714</v>
      </c>
      <c r="C680">
        <v>63</v>
      </c>
      <c r="D680" t="s">
        <v>40</v>
      </c>
      <c r="E680" t="s">
        <v>25</v>
      </c>
      <c r="F680" t="s">
        <v>23</v>
      </c>
      <c r="G680" t="s">
        <v>33</v>
      </c>
      <c r="H680">
        <v>4</v>
      </c>
      <c r="I680">
        <v>8800</v>
      </c>
      <c r="J680" s="1">
        <v>44961</v>
      </c>
      <c r="K680" s="1">
        <v>45419</v>
      </c>
      <c r="L680">
        <v>464</v>
      </c>
      <c r="M680">
        <v>25</v>
      </c>
      <c r="N680" t="s">
        <v>47</v>
      </c>
      <c r="O680">
        <v>458</v>
      </c>
    </row>
    <row r="681" spans="1:15" x14ac:dyDescent="0.3">
      <c r="A681">
        <v>680</v>
      </c>
      <c r="B681" t="s">
        <v>715</v>
      </c>
      <c r="C681">
        <v>33</v>
      </c>
      <c r="D681" t="s">
        <v>29</v>
      </c>
      <c r="E681" t="s">
        <v>36</v>
      </c>
      <c r="F681" t="s">
        <v>23</v>
      </c>
      <c r="G681" t="s">
        <v>33</v>
      </c>
      <c r="H681">
        <v>3</v>
      </c>
      <c r="I681">
        <v>18600</v>
      </c>
      <c r="J681" s="1">
        <v>44759</v>
      </c>
      <c r="K681" s="1">
        <v>44771</v>
      </c>
      <c r="L681">
        <v>441</v>
      </c>
      <c r="M681">
        <v>673</v>
      </c>
      <c r="N681" t="s">
        <v>20</v>
      </c>
      <c r="O681">
        <v>12</v>
      </c>
    </row>
    <row r="682" spans="1:15" x14ac:dyDescent="0.3">
      <c r="A682">
        <v>681</v>
      </c>
      <c r="B682" t="s">
        <v>716</v>
      </c>
      <c r="C682">
        <v>55</v>
      </c>
      <c r="D682" t="s">
        <v>40</v>
      </c>
      <c r="E682" t="s">
        <v>36</v>
      </c>
      <c r="F682" t="s">
        <v>26</v>
      </c>
      <c r="G682" t="s">
        <v>19</v>
      </c>
      <c r="H682">
        <v>5</v>
      </c>
      <c r="I682">
        <v>107000</v>
      </c>
      <c r="J682" s="1">
        <v>45108</v>
      </c>
      <c r="K682" s="1">
        <v>45602</v>
      </c>
      <c r="L682">
        <v>190</v>
      </c>
      <c r="M682">
        <v>-158</v>
      </c>
      <c r="N682" t="s">
        <v>47</v>
      </c>
      <c r="O682">
        <v>494</v>
      </c>
    </row>
    <row r="683" spans="1:15" x14ac:dyDescent="0.3">
      <c r="A683">
        <v>682</v>
      </c>
      <c r="B683" t="s">
        <v>717</v>
      </c>
      <c r="C683">
        <v>42</v>
      </c>
      <c r="D683" t="s">
        <v>63</v>
      </c>
      <c r="E683" t="s">
        <v>17</v>
      </c>
      <c r="F683" t="s">
        <v>18</v>
      </c>
      <c r="G683" t="s">
        <v>19</v>
      </c>
      <c r="H683">
        <v>1</v>
      </c>
      <c r="I683">
        <v>1300</v>
      </c>
      <c r="J683" s="1">
        <v>44683</v>
      </c>
      <c r="K683" s="1">
        <v>44791</v>
      </c>
      <c r="L683">
        <v>623</v>
      </c>
      <c r="M683">
        <v>653</v>
      </c>
      <c r="N683" t="s">
        <v>20</v>
      </c>
      <c r="O683">
        <v>108</v>
      </c>
    </row>
    <row r="684" spans="1:15" x14ac:dyDescent="0.3">
      <c r="A684">
        <v>683</v>
      </c>
      <c r="B684" t="s">
        <v>718</v>
      </c>
      <c r="C684">
        <v>23</v>
      </c>
      <c r="D684" t="s">
        <v>46</v>
      </c>
      <c r="E684" t="s">
        <v>25</v>
      </c>
      <c r="F684" t="s">
        <v>31</v>
      </c>
      <c r="G684" t="s">
        <v>19</v>
      </c>
      <c r="H684">
        <v>3</v>
      </c>
      <c r="I684">
        <v>9000</v>
      </c>
      <c r="J684" s="1">
        <v>44581</v>
      </c>
      <c r="K684" s="1">
        <v>44822</v>
      </c>
      <c r="L684">
        <v>207</v>
      </c>
      <c r="M684">
        <v>622</v>
      </c>
      <c r="N684" t="s">
        <v>20</v>
      </c>
      <c r="O684">
        <v>241</v>
      </c>
    </row>
    <row r="685" spans="1:15" x14ac:dyDescent="0.3">
      <c r="A685">
        <v>684</v>
      </c>
      <c r="B685" t="s">
        <v>719</v>
      </c>
      <c r="C685">
        <v>32</v>
      </c>
      <c r="D685" t="s">
        <v>63</v>
      </c>
      <c r="E685" t="s">
        <v>25</v>
      </c>
      <c r="F685" t="s">
        <v>31</v>
      </c>
      <c r="G685" t="s">
        <v>19</v>
      </c>
      <c r="H685">
        <v>1</v>
      </c>
      <c r="I685">
        <v>4700</v>
      </c>
      <c r="J685" s="1">
        <v>44876</v>
      </c>
      <c r="K685" s="1">
        <v>45296</v>
      </c>
      <c r="L685">
        <v>36</v>
      </c>
      <c r="M685">
        <v>148</v>
      </c>
      <c r="N685" t="s">
        <v>47</v>
      </c>
      <c r="O685">
        <v>420</v>
      </c>
    </row>
    <row r="686" spans="1:15" x14ac:dyDescent="0.3">
      <c r="A686">
        <v>685</v>
      </c>
      <c r="B686" t="s">
        <v>720</v>
      </c>
      <c r="C686">
        <v>28</v>
      </c>
      <c r="D686" t="s">
        <v>46</v>
      </c>
      <c r="E686" t="s">
        <v>25</v>
      </c>
      <c r="F686" t="s">
        <v>23</v>
      </c>
      <c r="G686" t="s">
        <v>19</v>
      </c>
      <c r="H686">
        <v>8</v>
      </c>
      <c r="I686">
        <v>27200</v>
      </c>
      <c r="J686" s="1">
        <v>44787</v>
      </c>
      <c r="K686" s="1">
        <v>44819</v>
      </c>
      <c r="L686">
        <v>976</v>
      </c>
      <c r="M686">
        <v>625</v>
      </c>
      <c r="N686" t="s">
        <v>20</v>
      </c>
      <c r="O686">
        <v>32</v>
      </c>
    </row>
    <row r="687" spans="1:15" x14ac:dyDescent="0.3">
      <c r="A687">
        <v>686</v>
      </c>
      <c r="B687" t="s">
        <v>721</v>
      </c>
      <c r="C687">
        <v>28</v>
      </c>
      <c r="D687" t="s">
        <v>22</v>
      </c>
      <c r="E687" t="s">
        <v>30</v>
      </c>
      <c r="F687" t="s">
        <v>26</v>
      </c>
      <c r="G687" t="s">
        <v>19</v>
      </c>
      <c r="H687">
        <v>10</v>
      </c>
      <c r="I687">
        <v>75000</v>
      </c>
      <c r="J687" s="1">
        <v>44702</v>
      </c>
      <c r="K687" s="1">
        <v>44866</v>
      </c>
      <c r="L687">
        <v>230</v>
      </c>
      <c r="M687">
        <v>578</v>
      </c>
      <c r="N687" t="s">
        <v>20</v>
      </c>
      <c r="O687">
        <v>164</v>
      </c>
    </row>
    <row r="688" spans="1:15" x14ac:dyDescent="0.3">
      <c r="A688">
        <v>687</v>
      </c>
      <c r="B688" t="s">
        <v>722</v>
      </c>
      <c r="C688">
        <v>28</v>
      </c>
      <c r="D688" t="s">
        <v>63</v>
      </c>
      <c r="E688" t="s">
        <v>25</v>
      </c>
      <c r="F688" t="s">
        <v>18</v>
      </c>
      <c r="G688" t="s">
        <v>19</v>
      </c>
      <c r="H688">
        <v>5</v>
      </c>
      <c r="I688">
        <v>8000</v>
      </c>
      <c r="J688" s="1">
        <v>44987</v>
      </c>
      <c r="K688" s="1">
        <v>45073</v>
      </c>
      <c r="L688">
        <v>3065</v>
      </c>
      <c r="M688">
        <v>371</v>
      </c>
      <c r="N688" t="s">
        <v>20</v>
      </c>
      <c r="O688">
        <v>86</v>
      </c>
    </row>
    <row r="689" spans="1:15" x14ac:dyDescent="0.3">
      <c r="A689">
        <v>688</v>
      </c>
      <c r="B689" t="s">
        <v>723</v>
      </c>
      <c r="C689">
        <v>23</v>
      </c>
      <c r="D689" t="s">
        <v>52</v>
      </c>
      <c r="E689" t="s">
        <v>36</v>
      </c>
      <c r="F689" t="s">
        <v>31</v>
      </c>
      <c r="G689" t="s">
        <v>27</v>
      </c>
      <c r="H689">
        <v>3</v>
      </c>
      <c r="I689">
        <v>24900</v>
      </c>
      <c r="J689" s="1">
        <v>44947</v>
      </c>
      <c r="K689" s="1">
        <v>45345</v>
      </c>
      <c r="L689">
        <v>120</v>
      </c>
      <c r="M689">
        <v>99</v>
      </c>
      <c r="N689" t="s">
        <v>47</v>
      </c>
      <c r="O689">
        <v>398</v>
      </c>
    </row>
    <row r="690" spans="1:15" x14ac:dyDescent="0.3">
      <c r="A690">
        <v>689</v>
      </c>
      <c r="B690" t="s">
        <v>724</v>
      </c>
      <c r="C690">
        <v>21</v>
      </c>
      <c r="D690" t="s">
        <v>63</v>
      </c>
      <c r="E690" t="s">
        <v>36</v>
      </c>
      <c r="F690" t="s">
        <v>23</v>
      </c>
      <c r="G690" t="s">
        <v>19</v>
      </c>
      <c r="H690">
        <v>3</v>
      </c>
      <c r="I690">
        <v>23700</v>
      </c>
      <c r="J690" s="1">
        <v>44852</v>
      </c>
      <c r="K690" s="1">
        <v>45065</v>
      </c>
      <c r="L690">
        <v>420</v>
      </c>
      <c r="M690">
        <v>379</v>
      </c>
      <c r="N690" t="s">
        <v>20</v>
      </c>
      <c r="O690">
        <v>213</v>
      </c>
    </row>
    <row r="691" spans="1:15" x14ac:dyDescent="0.3">
      <c r="A691">
        <v>690</v>
      </c>
      <c r="B691" t="s">
        <v>725</v>
      </c>
      <c r="C691">
        <v>54</v>
      </c>
      <c r="D691" t="s">
        <v>52</v>
      </c>
      <c r="E691" t="s">
        <v>25</v>
      </c>
      <c r="F691" t="s">
        <v>31</v>
      </c>
      <c r="G691" t="s">
        <v>19</v>
      </c>
      <c r="H691">
        <v>8</v>
      </c>
      <c r="I691">
        <v>21600</v>
      </c>
      <c r="J691" s="1">
        <v>44806</v>
      </c>
      <c r="K691" s="1">
        <v>45286</v>
      </c>
      <c r="L691">
        <v>328</v>
      </c>
      <c r="M691">
        <v>158</v>
      </c>
      <c r="N691" t="s">
        <v>47</v>
      </c>
      <c r="O691">
        <v>480</v>
      </c>
    </row>
    <row r="692" spans="1:15" x14ac:dyDescent="0.3">
      <c r="A692">
        <v>691</v>
      </c>
      <c r="B692" t="s">
        <v>726</v>
      </c>
      <c r="C692">
        <v>26</v>
      </c>
      <c r="D692" t="s">
        <v>63</v>
      </c>
      <c r="E692" t="s">
        <v>25</v>
      </c>
      <c r="F692" t="s">
        <v>26</v>
      </c>
      <c r="G692" t="s">
        <v>27</v>
      </c>
      <c r="H692">
        <v>5</v>
      </c>
      <c r="I692">
        <v>12000</v>
      </c>
      <c r="J692" s="1">
        <v>44990</v>
      </c>
      <c r="K692" s="1">
        <v>44992</v>
      </c>
      <c r="L692">
        <v>225</v>
      </c>
      <c r="M692">
        <v>452</v>
      </c>
      <c r="N692" t="s">
        <v>20</v>
      </c>
      <c r="O692">
        <v>2</v>
      </c>
    </row>
    <row r="693" spans="1:15" x14ac:dyDescent="0.3">
      <c r="A693">
        <v>692</v>
      </c>
      <c r="B693" t="s">
        <v>727</v>
      </c>
      <c r="C693">
        <v>27</v>
      </c>
      <c r="D693" t="s">
        <v>40</v>
      </c>
      <c r="E693" t="s">
        <v>25</v>
      </c>
      <c r="F693" t="s">
        <v>23</v>
      </c>
      <c r="G693" t="s">
        <v>27</v>
      </c>
      <c r="H693">
        <v>10</v>
      </c>
      <c r="I693">
        <v>25000</v>
      </c>
      <c r="J693" s="1">
        <v>45114</v>
      </c>
      <c r="K693" s="1">
        <v>45373</v>
      </c>
      <c r="L693">
        <v>1240</v>
      </c>
      <c r="M693">
        <v>71</v>
      </c>
      <c r="N693" t="s">
        <v>47</v>
      </c>
      <c r="O693">
        <v>259</v>
      </c>
    </row>
    <row r="694" spans="1:15" x14ac:dyDescent="0.3">
      <c r="A694">
        <v>693</v>
      </c>
      <c r="B694" t="s">
        <v>728</v>
      </c>
      <c r="C694">
        <v>33</v>
      </c>
      <c r="D694" t="s">
        <v>46</v>
      </c>
      <c r="E694" t="s">
        <v>25</v>
      </c>
      <c r="F694" t="s">
        <v>18</v>
      </c>
      <c r="G694" t="s">
        <v>19</v>
      </c>
      <c r="H694">
        <v>2</v>
      </c>
      <c r="I694">
        <v>8600</v>
      </c>
      <c r="J694" s="1">
        <v>44714</v>
      </c>
      <c r="K694" s="1">
        <v>45064</v>
      </c>
      <c r="L694">
        <v>1240</v>
      </c>
      <c r="M694">
        <v>380</v>
      </c>
      <c r="N694" t="s">
        <v>20</v>
      </c>
      <c r="O694">
        <v>350</v>
      </c>
    </row>
    <row r="695" spans="1:15" x14ac:dyDescent="0.3">
      <c r="A695">
        <v>694</v>
      </c>
      <c r="B695" t="s">
        <v>729</v>
      </c>
      <c r="C695">
        <v>24</v>
      </c>
      <c r="D695" t="s">
        <v>46</v>
      </c>
      <c r="E695" t="s">
        <v>25</v>
      </c>
      <c r="F695" t="s">
        <v>31</v>
      </c>
      <c r="G695" t="s">
        <v>19</v>
      </c>
      <c r="H695">
        <v>6</v>
      </c>
      <c r="I695">
        <v>13200</v>
      </c>
      <c r="J695" s="1">
        <v>44776</v>
      </c>
      <c r="K695" s="1">
        <v>44998</v>
      </c>
      <c r="L695">
        <v>276</v>
      </c>
      <c r="M695">
        <v>446</v>
      </c>
      <c r="N695" t="s">
        <v>20</v>
      </c>
      <c r="O695">
        <v>222</v>
      </c>
    </row>
    <row r="696" spans="1:15" x14ac:dyDescent="0.3">
      <c r="A696">
        <v>695</v>
      </c>
      <c r="B696" t="s">
        <v>730</v>
      </c>
      <c r="C696">
        <v>24</v>
      </c>
      <c r="D696" t="s">
        <v>29</v>
      </c>
      <c r="E696" t="s">
        <v>36</v>
      </c>
      <c r="F696" t="s">
        <v>23</v>
      </c>
      <c r="G696" t="s">
        <v>19</v>
      </c>
      <c r="H696">
        <v>9</v>
      </c>
      <c r="I696">
        <v>97200</v>
      </c>
      <c r="J696" s="1">
        <v>44723</v>
      </c>
      <c r="K696" s="1">
        <v>45125</v>
      </c>
      <c r="L696">
        <v>999</v>
      </c>
      <c r="M696">
        <v>319</v>
      </c>
      <c r="N696" t="s">
        <v>20</v>
      </c>
      <c r="O696">
        <v>402</v>
      </c>
    </row>
    <row r="697" spans="1:15" x14ac:dyDescent="0.3">
      <c r="A697">
        <v>696</v>
      </c>
      <c r="B697" t="s">
        <v>731</v>
      </c>
      <c r="C697">
        <v>49</v>
      </c>
      <c r="D697" t="s">
        <v>46</v>
      </c>
      <c r="E697" t="s">
        <v>17</v>
      </c>
      <c r="F697" t="s">
        <v>23</v>
      </c>
      <c r="G697" t="s">
        <v>19</v>
      </c>
      <c r="H697">
        <v>10</v>
      </c>
      <c r="I697">
        <v>17000</v>
      </c>
      <c r="J697" s="1">
        <v>44895</v>
      </c>
      <c r="K697" s="1">
        <v>45109</v>
      </c>
      <c r="L697">
        <v>1220</v>
      </c>
      <c r="M697">
        <v>335</v>
      </c>
      <c r="N697" t="s">
        <v>20</v>
      </c>
      <c r="O697">
        <v>214</v>
      </c>
    </row>
    <row r="698" spans="1:15" x14ac:dyDescent="0.3">
      <c r="A698">
        <v>697</v>
      </c>
      <c r="B698" t="s">
        <v>732</v>
      </c>
      <c r="C698">
        <v>35</v>
      </c>
      <c r="D698" t="s">
        <v>29</v>
      </c>
      <c r="E698" t="s">
        <v>25</v>
      </c>
      <c r="F698" t="s">
        <v>23</v>
      </c>
      <c r="G698" t="s">
        <v>19</v>
      </c>
      <c r="H698">
        <v>2</v>
      </c>
      <c r="I698">
        <v>4000</v>
      </c>
      <c r="J698" s="1">
        <v>44984</v>
      </c>
      <c r="K698" s="1">
        <v>45429</v>
      </c>
      <c r="L698">
        <v>244</v>
      </c>
      <c r="M698">
        <v>15</v>
      </c>
      <c r="N698" t="s">
        <v>47</v>
      </c>
      <c r="O698">
        <v>445</v>
      </c>
    </row>
    <row r="699" spans="1:15" x14ac:dyDescent="0.3">
      <c r="A699">
        <v>698</v>
      </c>
      <c r="B699" t="s">
        <v>733</v>
      </c>
      <c r="C699">
        <v>58</v>
      </c>
      <c r="D699" t="s">
        <v>22</v>
      </c>
      <c r="E699" t="s">
        <v>25</v>
      </c>
      <c r="F699" t="s">
        <v>23</v>
      </c>
      <c r="G699" t="s">
        <v>33</v>
      </c>
      <c r="H699">
        <v>8</v>
      </c>
      <c r="I699">
        <v>9600</v>
      </c>
      <c r="J699" s="1">
        <v>45008</v>
      </c>
      <c r="K699" s="1">
        <v>45082</v>
      </c>
      <c r="L699">
        <v>984</v>
      </c>
      <c r="M699">
        <v>362</v>
      </c>
      <c r="N699" t="s">
        <v>20</v>
      </c>
      <c r="O699">
        <v>74</v>
      </c>
    </row>
    <row r="700" spans="1:15" x14ac:dyDescent="0.3">
      <c r="A700">
        <v>699</v>
      </c>
      <c r="B700" t="s">
        <v>734</v>
      </c>
      <c r="C700">
        <v>29</v>
      </c>
      <c r="D700" t="s">
        <v>46</v>
      </c>
      <c r="E700" t="s">
        <v>25</v>
      </c>
      <c r="F700" t="s">
        <v>26</v>
      </c>
      <c r="G700" t="s">
        <v>19</v>
      </c>
      <c r="H700">
        <v>8</v>
      </c>
      <c r="I700">
        <v>31200</v>
      </c>
      <c r="J700" s="1">
        <v>44760</v>
      </c>
      <c r="K700" s="1">
        <v>45083</v>
      </c>
      <c r="L700">
        <v>256</v>
      </c>
      <c r="M700">
        <v>361</v>
      </c>
      <c r="N700" t="s">
        <v>20</v>
      </c>
      <c r="O700">
        <v>323</v>
      </c>
    </row>
    <row r="701" spans="1:15" x14ac:dyDescent="0.3">
      <c r="A701">
        <v>700</v>
      </c>
      <c r="B701" t="s">
        <v>735</v>
      </c>
      <c r="C701">
        <v>23</v>
      </c>
      <c r="D701" t="s">
        <v>38</v>
      </c>
      <c r="E701" t="s">
        <v>25</v>
      </c>
      <c r="F701" t="s">
        <v>18</v>
      </c>
      <c r="G701" t="s">
        <v>19</v>
      </c>
      <c r="H701">
        <v>10</v>
      </c>
      <c r="I701">
        <v>12000</v>
      </c>
      <c r="J701" s="1">
        <v>44849</v>
      </c>
      <c r="K701" s="1">
        <v>44918</v>
      </c>
      <c r="L701">
        <v>5970</v>
      </c>
      <c r="M701">
        <v>526</v>
      </c>
      <c r="N701" t="s">
        <v>20</v>
      </c>
      <c r="O701">
        <v>69</v>
      </c>
    </row>
    <row r="702" spans="1:15" x14ac:dyDescent="0.3">
      <c r="A702">
        <v>701</v>
      </c>
      <c r="B702" t="s">
        <v>736</v>
      </c>
      <c r="C702">
        <v>42</v>
      </c>
      <c r="D702" t="s">
        <v>46</v>
      </c>
      <c r="E702" t="s">
        <v>36</v>
      </c>
      <c r="F702" t="s">
        <v>26</v>
      </c>
      <c r="G702" t="s">
        <v>19</v>
      </c>
      <c r="H702">
        <v>4</v>
      </c>
      <c r="I702">
        <v>58800</v>
      </c>
      <c r="J702" s="1">
        <v>44722</v>
      </c>
      <c r="K702" s="1">
        <v>45126</v>
      </c>
      <c r="L702">
        <v>200</v>
      </c>
      <c r="M702">
        <v>318</v>
      </c>
      <c r="N702" t="s">
        <v>20</v>
      </c>
      <c r="O702">
        <v>404</v>
      </c>
    </row>
    <row r="703" spans="1:15" x14ac:dyDescent="0.3">
      <c r="A703">
        <v>702</v>
      </c>
      <c r="B703" t="s">
        <v>737</v>
      </c>
      <c r="C703">
        <v>54</v>
      </c>
      <c r="D703" t="s">
        <v>52</v>
      </c>
      <c r="E703" t="s">
        <v>25</v>
      </c>
      <c r="F703" t="s">
        <v>23</v>
      </c>
      <c r="G703" t="s">
        <v>33</v>
      </c>
      <c r="H703">
        <v>8</v>
      </c>
      <c r="I703">
        <v>36000</v>
      </c>
      <c r="J703" s="1">
        <v>44783</v>
      </c>
      <c r="K703" s="1">
        <v>45085</v>
      </c>
      <c r="L703">
        <v>1120</v>
      </c>
      <c r="M703">
        <v>359</v>
      </c>
      <c r="N703" t="s">
        <v>20</v>
      </c>
      <c r="O703">
        <v>302</v>
      </c>
    </row>
    <row r="704" spans="1:15" x14ac:dyDescent="0.3">
      <c r="A704">
        <v>703</v>
      </c>
      <c r="B704" t="s">
        <v>738</v>
      </c>
      <c r="C704">
        <v>36</v>
      </c>
      <c r="D704" t="s">
        <v>46</v>
      </c>
      <c r="E704" t="s">
        <v>30</v>
      </c>
      <c r="F704" t="s">
        <v>23</v>
      </c>
      <c r="G704" t="s">
        <v>33</v>
      </c>
      <c r="H704">
        <v>4</v>
      </c>
      <c r="I704">
        <v>22800</v>
      </c>
      <c r="J704" s="1">
        <v>45006</v>
      </c>
      <c r="K704" s="1">
        <v>45302</v>
      </c>
      <c r="L704">
        <v>496</v>
      </c>
      <c r="M704">
        <v>142</v>
      </c>
      <c r="N704" t="s">
        <v>47</v>
      </c>
      <c r="O704">
        <v>296</v>
      </c>
    </row>
    <row r="705" spans="1:15" x14ac:dyDescent="0.3">
      <c r="A705">
        <v>704</v>
      </c>
      <c r="B705" t="s">
        <v>739</v>
      </c>
      <c r="C705">
        <v>23</v>
      </c>
      <c r="D705" t="s">
        <v>52</v>
      </c>
      <c r="E705" t="s">
        <v>17</v>
      </c>
      <c r="F705" t="s">
        <v>26</v>
      </c>
      <c r="G705" t="s">
        <v>19</v>
      </c>
      <c r="H705">
        <v>8</v>
      </c>
      <c r="I705">
        <v>12000</v>
      </c>
      <c r="J705" s="1">
        <v>44596</v>
      </c>
      <c r="K705" s="1">
        <v>44813</v>
      </c>
      <c r="L705">
        <v>344</v>
      </c>
      <c r="M705">
        <v>631</v>
      </c>
      <c r="N705" t="s">
        <v>20</v>
      </c>
      <c r="O705">
        <v>217</v>
      </c>
    </row>
    <row r="706" spans="1:15" x14ac:dyDescent="0.3">
      <c r="A706">
        <v>705</v>
      </c>
      <c r="B706" t="s">
        <v>740</v>
      </c>
      <c r="C706">
        <v>52</v>
      </c>
      <c r="D706" t="s">
        <v>22</v>
      </c>
      <c r="E706" t="s">
        <v>36</v>
      </c>
      <c r="F706" t="s">
        <v>23</v>
      </c>
      <c r="G706" t="s">
        <v>33</v>
      </c>
      <c r="H706">
        <v>4</v>
      </c>
      <c r="I706">
        <v>30800</v>
      </c>
      <c r="J706" s="1">
        <v>45133</v>
      </c>
      <c r="K706" s="1">
        <v>45518</v>
      </c>
      <c r="L706">
        <v>440</v>
      </c>
      <c r="M706">
        <v>-74</v>
      </c>
      <c r="N706" t="s">
        <v>47</v>
      </c>
      <c r="O706">
        <v>385</v>
      </c>
    </row>
    <row r="707" spans="1:15" x14ac:dyDescent="0.3">
      <c r="A707">
        <v>706</v>
      </c>
      <c r="B707" t="s">
        <v>741</v>
      </c>
      <c r="C707">
        <v>39</v>
      </c>
      <c r="D707" t="s">
        <v>22</v>
      </c>
      <c r="E707" t="s">
        <v>25</v>
      </c>
      <c r="F707" t="s">
        <v>31</v>
      </c>
      <c r="G707" t="s">
        <v>19</v>
      </c>
      <c r="H707">
        <v>4</v>
      </c>
      <c r="I707">
        <v>14800</v>
      </c>
      <c r="J707" s="1">
        <v>44654</v>
      </c>
      <c r="K707" s="1">
        <v>44662</v>
      </c>
      <c r="L707">
        <v>240</v>
      </c>
      <c r="M707">
        <v>782</v>
      </c>
      <c r="N707" t="s">
        <v>20</v>
      </c>
      <c r="O707">
        <v>8</v>
      </c>
    </row>
    <row r="708" spans="1:15" x14ac:dyDescent="0.3">
      <c r="A708">
        <v>707</v>
      </c>
      <c r="B708" t="s">
        <v>742</v>
      </c>
      <c r="C708">
        <v>58</v>
      </c>
      <c r="D708" t="s">
        <v>38</v>
      </c>
      <c r="E708" t="s">
        <v>25</v>
      </c>
      <c r="F708" t="s">
        <v>26</v>
      </c>
      <c r="G708" t="s">
        <v>27</v>
      </c>
      <c r="H708">
        <v>1</v>
      </c>
      <c r="I708">
        <v>5000</v>
      </c>
      <c r="J708" s="1">
        <v>45027</v>
      </c>
      <c r="K708" s="1">
        <v>45264</v>
      </c>
      <c r="L708">
        <v>18</v>
      </c>
      <c r="M708">
        <v>180</v>
      </c>
      <c r="N708" t="s">
        <v>47</v>
      </c>
      <c r="O708">
        <v>237</v>
      </c>
    </row>
    <row r="709" spans="1:15" x14ac:dyDescent="0.3">
      <c r="A709">
        <v>708</v>
      </c>
      <c r="B709" t="s">
        <v>743</v>
      </c>
      <c r="C709">
        <v>61</v>
      </c>
      <c r="D709" t="s">
        <v>22</v>
      </c>
      <c r="E709" t="s">
        <v>25</v>
      </c>
      <c r="F709" t="s">
        <v>18</v>
      </c>
      <c r="G709" t="s">
        <v>33</v>
      </c>
      <c r="H709">
        <v>1</v>
      </c>
      <c r="I709">
        <v>4500</v>
      </c>
      <c r="J709" s="1">
        <v>44634</v>
      </c>
      <c r="K709" s="1">
        <v>44831</v>
      </c>
      <c r="L709">
        <v>611</v>
      </c>
      <c r="M709">
        <v>613</v>
      </c>
      <c r="N709" t="s">
        <v>20</v>
      </c>
      <c r="O709">
        <v>197</v>
      </c>
    </row>
    <row r="710" spans="1:15" x14ac:dyDescent="0.3">
      <c r="A710">
        <v>709</v>
      </c>
      <c r="B710" t="s">
        <v>744</v>
      </c>
      <c r="C710">
        <v>65</v>
      </c>
      <c r="D710" t="s">
        <v>63</v>
      </c>
      <c r="E710" t="s">
        <v>30</v>
      </c>
      <c r="F710" t="s">
        <v>26</v>
      </c>
      <c r="G710" t="s">
        <v>19</v>
      </c>
      <c r="H710">
        <v>10</v>
      </c>
      <c r="I710">
        <v>74000</v>
      </c>
      <c r="J710" s="1">
        <v>45151</v>
      </c>
      <c r="K710" s="1">
        <v>45557</v>
      </c>
      <c r="L710">
        <v>230</v>
      </c>
      <c r="M710">
        <v>-113</v>
      </c>
      <c r="N710" t="s">
        <v>47</v>
      </c>
      <c r="O710">
        <v>406</v>
      </c>
    </row>
    <row r="711" spans="1:15" x14ac:dyDescent="0.3">
      <c r="A711">
        <v>710</v>
      </c>
      <c r="B711" t="s">
        <v>745</v>
      </c>
      <c r="C711">
        <v>64</v>
      </c>
      <c r="D711" t="s">
        <v>16</v>
      </c>
      <c r="E711" t="s">
        <v>30</v>
      </c>
      <c r="F711" t="s">
        <v>23</v>
      </c>
      <c r="G711" t="s">
        <v>27</v>
      </c>
      <c r="H711">
        <v>6</v>
      </c>
      <c r="I711">
        <v>20400</v>
      </c>
      <c r="J711" s="1">
        <v>44675</v>
      </c>
      <c r="K711" s="1">
        <v>44871</v>
      </c>
      <c r="L711">
        <v>798</v>
      </c>
      <c r="M711">
        <v>573</v>
      </c>
      <c r="N711" t="s">
        <v>20</v>
      </c>
      <c r="O711">
        <v>196</v>
      </c>
    </row>
    <row r="712" spans="1:15" x14ac:dyDescent="0.3">
      <c r="A712">
        <v>711</v>
      </c>
      <c r="B712" t="s">
        <v>746</v>
      </c>
      <c r="C712">
        <v>32</v>
      </c>
      <c r="D712" t="s">
        <v>46</v>
      </c>
      <c r="E712" t="s">
        <v>17</v>
      </c>
      <c r="F712" t="s">
        <v>18</v>
      </c>
      <c r="G712" t="s">
        <v>19</v>
      </c>
      <c r="H712">
        <v>9</v>
      </c>
      <c r="I712">
        <v>17100</v>
      </c>
      <c r="J712" s="1">
        <v>44630</v>
      </c>
      <c r="K712" s="1">
        <v>44917</v>
      </c>
      <c r="L712">
        <v>5427</v>
      </c>
      <c r="M712">
        <v>527</v>
      </c>
      <c r="N712" t="s">
        <v>20</v>
      </c>
      <c r="O712">
        <v>287</v>
      </c>
    </row>
    <row r="713" spans="1:15" x14ac:dyDescent="0.3">
      <c r="A713">
        <v>712</v>
      </c>
      <c r="B713" t="s">
        <v>747</v>
      </c>
      <c r="C713">
        <v>28</v>
      </c>
      <c r="D713" t="s">
        <v>52</v>
      </c>
      <c r="E713" t="s">
        <v>30</v>
      </c>
      <c r="F713" t="s">
        <v>31</v>
      </c>
      <c r="G713" t="s">
        <v>27</v>
      </c>
      <c r="H713">
        <v>8</v>
      </c>
      <c r="I713">
        <v>72000</v>
      </c>
      <c r="J713" s="1">
        <v>45156</v>
      </c>
      <c r="K713" s="1">
        <v>45602</v>
      </c>
      <c r="L713">
        <v>344</v>
      </c>
      <c r="M713">
        <v>-158</v>
      </c>
      <c r="N713" t="s">
        <v>47</v>
      </c>
      <c r="O713">
        <v>446</v>
      </c>
    </row>
    <row r="714" spans="1:15" x14ac:dyDescent="0.3">
      <c r="A714">
        <v>713</v>
      </c>
      <c r="B714" t="s">
        <v>748</v>
      </c>
      <c r="C714">
        <v>53</v>
      </c>
      <c r="D714" t="s">
        <v>40</v>
      </c>
      <c r="E714" t="s">
        <v>30</v>
      </c>
      <c r="F714" t="s">
        <v>18</v>
      </c>
      <c r="G714" t="s">
        <v>19</v>
      </c>
      <c r="H714">
        <v>7</v>
      </c>
      <c r="I714">
        <v>37100</v>
      </c>
      <c r="J714" s="1">
        <v>44617</v>
      </c>
      <c r="K714" s="1">
        <v>44649</v>
      </c>
      <c r="L714">
        <v>4291</v>
      </c>
      <c r="M714">
        <v>795</v>
      </c>
      <c r="N714" t="s">
        <v>20</v>
      </c>
      <c r="O714">
        <v>32</v>
      </c>
    </row>
    <row r="715" spans="1:15" x14ac:dyDescent="0.3">
      <c r="A715">
        <v>714</v>
      </c>
      <c r="B715" t="s">
        <v>749</v>
      </c>
      <c r="C715">
        <v>54</v>
      </c>
      <c r="D715" t="s">
        <v>29</v>
      </c>
      <c r="E715" t="s">
        <v>36</v>
      </c>
      <c r="F715" t="s">
        <v>26</v>
      </c>
      <c r="G715" t="s">
        <v>27</v>
      </c>
      <c r="H715">
        <v>2</v>
      </c>
      <c r="I715">
        <v>40800</v>
      </c>
      <c r="J715" s="1">
        <v>45106</v>
      </c>
      <c r="K715" s="1">
        <v>45453</v>
      </c>
      <c r="L715">
        <v>88</v>
      </c>
      <c r="M715">
        <v>-9</v>
      </c>
      <c r="N715" t="s">
        <v>47</v>
      </c>
      <c r="O715">
        <v>347</v>
      </c>
    </row>
    <row r="716" spans="1:15" x14ac:dyDescent="0.3">
      <c r="A716">
        <v>715</v>
      </c>
      <c r="B716" t="s">
        <v>750</v>
      </c>
      <c r="C716">
        <v>33</v>
      </c>
      <c r="D716" t="s">
        <v>38</v>
      </c>
      <c r="E716" t="s">
        <v>36</v>
      </c>
      <c r="F716" t="s">
        <v>18</v>
      </c>
      <c r="G716" t="s">
        <v>19</v>
      </c>
      <c r="H716">
        <v>8</v>
      </c>
      <c r="I716">
        <v>63200</v>
      </c>
      <c r="J716" s="1">
        <v>44644</v>
      </c>
      <c r="K716" s="1">
        <v>44844</v>
      </c>
      <c r="L716">
        <v>4808</v>
      </c>
      <c r="M716">
        <v>600</v>
      </c>
      <c r="N716" t="s">
        <v>20</v>
      </c>
      <c r="O716">
        <v>200</v>
      </c>
    </row>
    <row r="717" spans="1:15" x14ac:dyDescent="0.3">
      <c r="A717">
        <v>716</v>
      </c>
      <c r="B717" t="s">
        <v>751</v>
      </c>
      <c r="C717">
        <v>38</v>
      </c>
      <c r="D717" t="s">
        <v>38</v>
      </c>
      <c r="E717" t="s">
        <v>17</v>
      </c>
      <c r="F717" t="s">
        <v>23</v>
      </c>
      <c r="G717" t="s">
        <v>19</v>
      </c>
      <c r="H717">
        <v>2</v>
      </c>
      <c r="I717">
        <v>3800</v>
      </c>
      <c r="J717" s="1">
        <v>44713</v>
      </c>
      <c r="K717" s="1">
        <v>44967</v>
      </c>
      <c r="L717">
        <v>238</v>
      </c>
      <c r="M717">
        <v>477</v>
      </c>
      <c r="N717" t="s">
        <v>20</v>
      </c>
      <c r="O717">
        <v>254</v>
      </c>
    </row>
    <row r="718" spans="1:15" x14ac:dyDescent="0.3">
      <c r="A718">
        <v>717</v>
      </c>
      <c r="B718" t="s">
        <v>752</v>
      </c>
      <c r="C718">
        <v>64</v>
      </c>
      <c r="D718" t="s">
        <v>40</v>
      </c>
      <c r="E718" t="s">
        <v>17</v>
      </c>
      <c r="F718" t="s">
        <v>18</v>
      </c>
      <c r="G718" t="s">
        <v>33</v>
      </c>
      <c r="H718">
        <v>9</v>
      </c>
      <c r="I718">
        <v>7200</v>
      </c>
      <c r="J718" s="1">
        <v>45047</v>
      </c>
      <c r="K718" s="1">
        <v>45224</v>
      </c>
      <c r="L718">
        <v>5544</v>
      </c>
      <c r="M718">
        <v>220</v>
      </c>
      <c r="N718" t="s">
        <v>20</v>
      </c>
      <c r="O718">
        <v>177</v>
      </c>
    </row>
    <row r="719" spans="1:15" x14ac:dyDescent="0.3">
      <c r="A719">
        <v>718</v>
      </c>
      <c r="B719" t="s">
        <v>753</v>
      </c>
      <c r="C719">
        <v>25</v>
      </c>
      <c r="D719" t="s">
        <v>46</v>
      </c>
      <c r="E719" t="s">
        <v>17</v>
      </c>
      <c r="F719" t="s">
        <v>18</v>
      </c>
      <c r="G719" t="s">
        <v>19</v>
      </c>
      <c r="H719">
        <v>1</v>
      </c>
      <c r="I719">
        <v>1000</v>
      </c>
      <c r="J719" s="1">
        <v>45094</v>
      </c>
      <c r="K719" s="1">
        <v>45424</v>
      </c>
      <c r="L719">
        <v>611</v>
      </c>
      <c r="M719">
        <v>20</v>
      </c>
      <c r="N719" t="s">
        <v>47</v>
      </c>
      <c r="O719">
        <v>330</v>
      </c>
    </row>
    <row r="720" spans="1:15" x14ac:dyDescent="0.3">
      <c r="A720">
        <v>719</v>
      </c>
      <c r="B720" t="s">
        <v>754</v>
      </c>
      <c r="C720">
        <v>58</v>
      </c>
      <c r="D720" t="s">
        <v>22</v>
      </c>
      <c r="E720" t="s">
        <v>30</v>
      </c>
      <c r="F720" t="s">
        <v>18</v>
      </c>
      <c r="G720" t="s">
        <v>33</v>
      </c>
      <c r="H720">
        <v>9</v>
      </c>
      <c r="I720">
        <v>89100</v>
      </c>
      <c r="J720" s="1">
        <v>45123</v>
      </c>
      <c r="K720" s="1">
        <v>45350</v>
      </c>
      <c r="L720">
        <v>5571</v>
      </c>
      <c r="M720">
        <v>94</v>
      </c>
      <c r="N720" t="s">
        <v>47</v>
      </c>
      <c r="O720">
        <v>227</v>
      </c>
    </row>
    <row r="721" spans="1:15" x14ac:dyDescent="0.3">
      <c r="A721">
        <v>720</v>
      </c>
      <c r="B721" t="s">
        <v>755</v>
      </c>
      <c r="C721">
        <v>37</v>
      </c>
      <c r="D721" t="s">
        <v>38</v>
      </c>
      <c r="E721" t="s">
        <v>25</v>
      </c>
      <c r="F721" t="s">
        <v>18</v>
      </c>
      <c r="G721" t="s">
        <v>19</v>
      </c>
      <c r="H721">
        <v>4</v>
      </c>
      <c r="I721">
        <v>12000</v>
      </c>
      <c r="J721" s="1">
        <v>44942</v>
      </c>
      <c r="K721" s="1">
        <v>45439</v>
      </c>
      <c r="L721">
        <v>2432</v>
      </c>
      <c r="M721">
        <v>5</v>
      </c>
      <c r="N721" t="s">
        <v>47</v>
      </c>
      <c r="O721">
        <v>497</v>
      </c>
    </row>
    <row r="722" spans="1:15" x14ac:dyDescent="0.3">
      <c r="A722">
        <v>721</v>
      </c>
      <c r="B722" t="s">
        <v>756</v>
      </c>
      <c r="C722">
        <v>50</v>
      </c>
      <c r="D722" t="s">
        <v>63</v>
      </c>
      <c r="E722" t="s">
        <v>25</v>
      </c>
      <c r="F722" t="s">
        <v>18</v>
      </c>
      <c r="G722" t="s">
        <v>19</v>
      </c>
      <c r="H722">
        <v>3</v>
      </c>
      <c r="I722">
        <v>10500</v>
      </c>
      <c r="J722" s="1">
        <v>44726</v>
      </c>
      <c r="K722" s="1">
        <v>45090</v>
      </c>
      <c r="L722">
        <v>1872</v>
      </c>
      <c r="M722">
        <v>354</v>
      </c>
      <c r="N722" t="s">
        <v>20</v>
      </c>
      <c r="O722">
        <v>364</v>
      </c>
    </row>
    <row r="723" spans="1:15" x14ac:dyDescent="0.3">
      <c r="A723">
        <v>722</v>
      </c>
      <c r="B723" t="s">
        <v>757</v>
      </c>
      <c r="C723">
        <v>31</v>
      </c>
      <c r="D723" t="s">
        <v>38</v>
      </c>
      <c r="E723" t="s">
        <v>25</v>
      </c>
      <c r="F723" t="s">
        <v>31</v>
      </c>
      <c r="G723" t="s">
        <v>19</v>
      </c>
      <c r="H723">
        <v>4</v>
      </c>
      <c r="I723">
        <v>6000</v>
      </c>
      <c r="J723" s="1">
        <v>44604</v>
      </c>
      <c r="K723" s="1">
        <v>44766</v>
      </c>
      <c r="L723">
        <v>264</v>
      </c>
      <c r="M723">
        <v>678</v>
      </c>
      <c r="N723" t="s">
        <v>20</v>
      </c>
      <c r="O723">
        <v>162</v>
      </c>
    </row>
    <row r="724" spans="1:15" x14ac:dyDescent="0.3">
      <c r="A724">
        <v>723</v>
      </c>
      <c r="B724" t="s">
        <v>758</v>
      </c>
      <c r="C724">
        <v>32</v>
      </c>
      <c r="D724" t="s">
        <v>52</v>
      </c>
      <c r="E724" t="s">
        <v>36</v>
      </c>
      <c r="F724" t="s">
        <v>18</v>
      </c>
      <c r="G724" t="s">
        <v>19</v>
      </c>
      <c r="H724">
        <v>4</v>
      </c>
      <c r="I724">
        <v>93600</v>
      </c>
      <c r="J724" s="1">
        <v>44597</v>
      </c>
      <c r="K724" s="1">
        <v>44937</v>
      </c>
      <c r="L724">
        <v>2440</v>
      </c>
      <c r="M724">
        <v>507</v>
      </c>
      <c r="N724" t="s">
        <v>20</v>
      </c>
      <c r="O724">
        <v>340</v>
      </c>
    </row>
    <row r="725" spans="1:15" x14ac:dyDescent="0.3">
      <c r="A725">
        <v>724</v>
      </c>
      <c r="B725" t="s">
        <v>759</v>
      </c>
      <c r="C725">
        <v>55</v>
      </c>
      <c r="D725" t="s">
        <v>29</v>
      </c>
      <c r="E725" t="s">
        <v>25</v>
      </c>
      <c r="F725" t="s">
        <v>18</v>
      </c>
      <c r="G725" t="s">
        <v>33</v>
      </c>
      <c r="H725">
        <v>3</v>
      </c>
      <c r="I725">
        <v>9600</v>
      </c>
      <c r="J725" s="1">
        <v>44870</v>
      </c>
      <c r="K725" s="1">
        <v>44932</v>
      </c>
      <c r="L725">
        <v>1773</v>
      </c>
      <c r="M725">
        <v>512</v>
      </c>
      <c r="N725" t="s">
        <v>20</v>
      </c>
      <c r="O725">
        <v>62</v>
      </c>
    </row>
    <row r="726" spans="1:15" x14ac:dyDescent="0.3">
      <c r="A726">
        <v>725</v>
      </c>
      <c r="B726" t="s">
        <v>760</v>
      </c>
      <c r="C726">
        <v>41</v>
      </c>
      <c r="D726" t="s">
        <v>22</v>
      </c>
      <c r="E726" t="s">
        <v>36</v>
      </c>
      <c r="F726" t="s">
        <v>31</v>
      </c>
      <c r="G726" t="s">
        <v>33</v>
      </c>
      <c r="H726">
        <v>3</v>
      </c>
      <c r="I726">
        <v>15300</v>
      </c>
      <c r="J726" s="1">
        <v>45121</v>
      </c>
      <c r="K726" s="1">
        <v>45620</v>
      </c>
      <c r="L726">
        <v>186</v>
      </c>
      <c r="M726">
        <v>-176</v>
      </c>
      <c r="N726" t="s">
        <v>47</v>
      </c>
      <c r="O726">
        <v>499</v>
      </c>
    </row>
    <row r="727" spans="1:15" x14ac:dyDescent="0.3">
      <c r="A727">
        <v>726</v>
      </c>
      <c r="B727" t="s">
        <v>761</v>
      </c>
      <c r="C727">
        <v>57</v>
      </c>
      <c r="D727" t="s">
        <v>29</v>
      </c>
      <c r="E727" t="s">
        <v>30</v>
      </c>
      <c r="F727" t="s">
        <v>26</v>
      </c>
      <c r="G727" t="s">
        <v>19</v>
      </c>
      <c r="H727">
        <v>3</v>
      </c>
      <c r="I727">
        <v>28800</v>
      </c>
      <c r="J727" s="1">
        <v>45140</v>
      </c>
      <c r="K727" s="1">
        <v>45513</v>
      </c>
      <c r="L727">
        <v>114</v>
      </c>
      <c r="M727">
        <v>-69</v>
      </c>
      <c r="N727" t="s">
        <v>47</v>
      </c>
      <c r="O727">
        <v>373</v>
      </c>
    </row>
    <row r="728" spans="1:15" x14ac:dyDescent="0.3">
      <c r="A728">
        <v>727</v>
      </c>
      <c r="B728" t="s">
        <v>762</v>
      </c>
      <c r="C728">
        <v>29</v>
      </c>
      <c r="D728" t="s">
        <v>29</v>
      </c>
      <c r="E728" t="s">
        <v>17</v>
      </c>
      <c r="F728" t="s">
        <v>26</v>
      </c>
      <c r="G728" t="s">
        <v>19</v>
      </c>
      <c r="H728">
        <v>9</v>
      </c>
      <c r="I728">
        <v>6300</v>
      </c>
      <c r="J728" s="1">
        <v>44877</v>
      </c>
      <c r="K728" s="1">
        <v>44889</v>
      </c>
      <c r="L728">
        <v>315</v>
      </c>
      <c r="M728">
        <v>555</v>
      </c>
      <c r="N728" t="s">
        <v>20</v>
      </c>
      <c r="O728">
        <v>12</v>
      </c>
    </row>
    <row r="729" spans="1:15" x14ac:dyDescent="0.3">
      <c r="A729">
        <v>728</v>
      </c>
      <c r="B729" t="s">
        <v>763</v>
      </c>
      <c r="C729">
        <v>41</v>
      </c>
      <c r="D729" t="s">
        <v>40</v>
      </c>
      <c r="E729" t="s">
        <v>36</v>
      </c>
      <c r="F729" t="s">
        <v>18</v>
      </c>
      <c r="G729" t="s">
        <v>19</v>
      </c>
      <c r="H729">
        <v>1</v>
      </c>
      <c r="I729">
        <v>24900</v>
      </c>
      <c r="J729" s="1">
        <v>44761</v>
      </c>
      <c r="K729" s="1">
        <v>45059</v>
      </c>
      <c r="L729">
        <v>623</v>
      </c>
      <c r="M729">
        <v>385</v>
      </c>
      <c r="N729" t="s">
        <v>20</v>
      </c>
      <c r="O729">
        <v>298</v>
      </c>
    </row>
    <row r="730" spans="1:15" x14ac:dyDescent="0.3">
      <c r="A730">
        <v>729</v>
      </c>
      <c r="B730" t="s">
        <v>764</v>
      </c>
      <c r="C730">
        <v>26</v>
      </c>
      <c r="D730" t="s">
        <v>40</v>
      </c>
      <c r="E730" t="s">
        <v>30</v>
      </c>
      <c r="F730" t="s">
        <v>31</v>
      </c>
      <c r="G730" t="s">
        <v>19</v>
      </c>
      <c r="H730">
        <v>9</v>
      </c>
      <c r="I730">
        <v>90000</v>
      </c>
      <c r="J730" s="1">
        <v>45018</v>
      </c>
      <c r="K730" s="1">
        <v>45364</v>
      </c>
      <c r="L730">
        <v>315</v>
      </c>
      <c r="M730">
        <v>80</v>
      </c>
      <c r="N730" t="s">
        <v>47</v>
      </c>
      <c r="O730">
        <v>346</v>
      </c>
    </row>
    <row r="731" spans="1:15" x14ac:dyDescent="0.3">
      <c r="A731">
        <v>730</v>
      </c>
      <c r="B731" t="s">
        <v>765</v>
      </c>
      <c r="C731">
        <v>59</v>
      </c>
      <c r="D731" t="s">
        <v>22</v>
      </c>
      <c r="E731" t="s">
        <v>25</v>
      </c>
      <c r="F731" t="s">
        <v>26</v>
      </c>
      <c r="G731" t="s">
        <v>19</v>
      </c>
      <c r="H731">
        <v>10</v>
      </c>
      <c r="I731">
        <v>31000</v>
      </c>
      <c r="J731" s="1">
        <v>44619</v>
      </c>
      <c r="K731" s="1">
        <v>45084</v>
      </c>
      <c r="L731">
        <v>330</v>
      </c>
      <c r="M731">
        <v>360</v>
      </c>
      <c r="N731" t="s">
        <v>20</v>
      </c>
      <c r="O731">
        <v>465</v>
      </c>
    </row>
    <row r="732" spans="1:15" x14ac:dyDescent="0.3">
      <c r="A732">
        <v>731</v>
      </c>
      <c r="B732" t="s">
        <v>766</v>
      </c>
      <c r="C732">
        <v>45</v>
      </c>
      <c r="D732" t="s">
        <v>22</v>
      </c>
      <c r="E732" t="s">
        <v>25</v>
      </c>
      <c r="F732" t="s">
        <v>26</v>
      </c>
      <c r="G732" t="s">
        <v>19</v>
      </c>
      <c r="H732">
        <v>6</v>
      </c>
      <c r="I732">
        <v>6000</v>
      </c>
      <c r="J732" s="1">
        <v>44853</v>
      </c>
      <c r="K732" s="1">
        <v>45029</v>
      </c>
      <c r="L732">
        <v>192</v>
      </c>
      <c r="M732">
        <v>415</v>
      </c>
      <c r="N732" t="s">
        <v>20</v>
      </c>
      <c r="O732">
        <v>176</v>
      </c>
    </row>
    <row r="733" spans="1:15" x14ac:dyDescent="0.3">
      <c r="A733">
        <v>732</v>
      </c>
      <c r="B733" t="s">
        <v>767</v>
      </c>
      <c r="C733">
        <v>49</v>
      </c>
      <c r="D733" t="s">
        <v>38</v>
      </c>
      <c r="E733" t="s">
        <v>36</v>
      </c>
      <c r="F733" t="s">
        <v>23</v>
      </c>
      <c r="G733" t="s">
        <v>19</v>
      </c>
      <c r="H733">
        <v>7</v>
      </c>
      <c r="I733">
        <v>136500</v>
      </c>
      <c r="J733" s="1">
        <v>44857</v>
      </c>
      <c r="K733" s="1">
        <v>44940</v>
      </c>
      <c r="L733">
        <v>959</v>
      </c>
      <c r="M733">
        <v>504</v>
      </c>
      <c r="N733" t="s">
        <v>20</v>
      </c>
      <c r="O733">
        <v>83</v>
      </c>
    </row>
    <row r="734" spans="1:15" x14ac:dyDescent="0.3">
      <c r="A734">
        <v>733</v>
      </c>
      <c r="B734" t="s">
        <v>768</v>
      </c>
      <c r="C734">
        <v>34</v>
      </c>
      <c r="D734" t="s">
        <v>22</v>
      </c>
      <c r="E734" t="s">
        <v>25</v>
      </c>
      <c r="F734" t="s">
        <v>23</v>
      </c>
      <c r="G734" t="s">
        <v>19</v>
      </c>
      <c r="H734">
        <v>5</v>
      </c>
      <c r="I734">
        <v>14500</v>
      </c>
      <c r="J734" s="1">
        <v>45099</v>
      </c>
      <c r="K734" s="1">
        <v>45270</v>
      </c>
      <c r="L734">
        <v>570</v>
      </c>
      <c r="M734">
        <v>174</v>
      </c>
      <c r="N734" t="s">
        <v>47</v>
      </c>
      <c r="O734">
        <v>171</v>
      </c>
    </row>
    <row r="735" spans="1:15" x14ac:dyDescent="0.3">
      <c r="A735">
        <v>734</v>
      </c>
      <c r="B735" t="s">
        <v>769</v>
      </c>
      <c r="C735">
        <v>61</v>
      </c>
      <c r="D735" t="s">
        <v>22</v>
      </c>
      <c r="E735" t="s">
        <v>17</v>
      </c>
      <c r="F735" t="s">
        <v>23</v>
      </c>
      <c r="G735" t="s">
        <v>33</v>
      </c>
      <c r="H735">
        <v>5</v>
      </c>
      <c r="I735">
        <v>6500</v>
      </c>
      <c r="J735" s="1">
        <v>44741</v>
      </c>
      <c r="K735" s="1">
        <v>45025</v>
      </c>
      <c r="L735">
        <v>695</v>
      </c>
      <c r="M735">
        <v>419</v>
      </c>
      <c r="N735" t="s">
        <v>20</v>
      </c>
      <c r="O735">
        <v>284</v>
      </c>
    </row>
    <row r="736" spans="1:15" x14ac:dyDescent="0.3">
      <c r="A736">
        <v>735</v>
      </c>
      <c r="B736" t="s">
        <v>770</v>
      </c>
      <c r="C736">
        <v>39</v>
      </c>
      <c r="D736" t="s">
        <v>52</v>
      </c>
      <c r="E736" t="s">
        <v>25</v>
      </c>
      <c r="F736" t="s">
        <v>31</v>
      </c>
      <c r="G736" t="s">
        <v>33</v>
      </c>
      <c r="H736">
        <v>9</v>
      </c>
      <c r="I736">
        <v>27000</v>
      </c>
      <c r="J736" s="1">
        <v>44605</v>
      </c>
      <c r="K736" s="1">
        <v>45026</v>
      </c>
      <c r="L736">
        <v>441</v>
      </c>
      <c r="M736">
        <v>418</v>
      </c>
      <c r="N736" t="s">
        <v>20</v>
      </c>
      <c r="O736">
        <v>421</v>
      </c>
    </row>
    <row r="737" spans="1:15" x14ac:dyDescent="0.3">
      <c r="A737">
        <v>736</v>
      </c>
      <c r="B737" t="s">
        <v>771</v>
      </c>
      <c r="C737">
        <v>22</v>
      </c>
      <c r="D737" t="s">
        <v>38</v>
      </c>
      <c r="E737" t="s">
        <v>36</v>
      </c>
      <c r="F737" t="s">
        <v>26</v>
      </c>
      <c r="G737" t="s">
        <v>19</v>
      </c>
      <c r="H737">
        <v>1</v>
      </c>
      <c r="I737">
        <v>10000</v>
      </c>
      <c r="J737" s="1">
        <v>44830</v>
      </c>
      <c r="K737" s="1">
        <v>44983</v>
      </c>
      <c r="L737">
        <v>50</v>
      </c>
      <c r="M737">
        <v>461</v>
      </c>
      <c r="N737" t="s">
        <v>20</v>
      </c>
      <c r="O737">
        <v>153</v>
      </c>
    </row>
    <row r="738" spans="1:15" x14ac:dyDescent="0.3">
      <c r="A738">
        <v>737</v>
      </c>
      <c r="B738" t="s">
        <v>772</v>
      </c>
      <c r="C738">
        <v>32</v>
      </c>
      <c r="D738" t="s">
        <v>46</v>
      </c>
      <c r="E738" t="s">
        <v>17</v>
      </c>
      <c r="F738" t="s">
        <v>18</v>
      </c>
      <c r="G738" t="s">
        <v>33</v>
      </c>
      <c r="H738">
        <v>8</v>
      </c>
      <c r="I738">
        <v>15200</v>
      </c>
      <c r="J738" s="1">
        <v>44812</v>
      </c>
      <c r="K738" s="1">
        <v>44826</v>
      </c>
      <c r="L738">
        <v>4776</v>
      </c>
      <c r="M738">
        <v>618</v>
      </c>
      <c r="N738" t="s">
        <v>20</v>
      </c>
      <c r="O738">
        <v>14</v>
      </c>
    </row>
    <row r="739" spans="1:15" x14ac:dyDescent="0.3">
      <c r="A739">
        <v>738</v>
      </c>
      <c r="B739" t="s">
        <v>773</v>
      </c>
      <c r="C739">
        <v>44</v>
      </c>
      <c r="D739" t="s">
        <v>38</v>
      </c>
      <c r="E739" t="s">
        <v>36</v>
      </c>
      <c r="F739" t="s">
        <v>23</v>
      </c>
      <c r="G739" t="s">
        <v>27</v>
      </c>
      <c r="H739">
        <v>10</v>
      </c>
      <c r="I739">
        <v>207000</v>
      </c>
      <c r="J739" s="1">
        <v>45141</v>
      </c>
      <c r="K739" s="1">
        <v>45364</v>
      </c>
      <c r="L739">
        <v>1260</v>
      </c>
      <c r="M739">
        <v>80</v>
      </c>
      <c r="N739" t="s">
        <v>47</v>
      </c>
      <c r="O739">
        <v>223</v>
      </c>
    </row>
    <row r="740" spans="1:15" x14ac:dyDescent="0.3">
      <c r="A740">
        <v>739</v>
      </c>
      <c r="B740" t="s">
        <v>774</v>
      </c>
      <c r="C740">
        <v>57</v>
      </c>
      <c r="D740" t="s">
        <v>46</v>
      </c>
      <c r="E740" t="s">
        <v>17</v>
      </c>
      <c r="F740" t="s">
        <v>18</v>
      </c>
      <c r="G740" t="s">
        <v>27</v>
      </c>
      <c r="H740">
        <v>1</v>
      </c>
      <c r="I740">
        <v>1000</v>
      </c>
      <c r="J740" s="1">
        <v>44728</v>
      </c>
      <c r="K740" s="1">
        <v>45025</v>
      </c>
      <c r="L740">
        <v>593</v>
      </c>
      <c r="M740">
        <v>419</v>
      </c>
      <c r="N740" t="s">
        <v>20</v>
      </c>
      <c r="O740">
        <v>297</v>
      </c>
    </row>
    <row r="741" spans="1:15" x14ac:dyDescent="0.3">
      <c r="A741">
        <v>740</v>
      </c>
      <c r="B741" t="s">
        <v>775</v>
      </c>
      <c r="C741">
        <v>43</v>
      </c>
      <c r="D741" t="s">
        <v>52</v>
      </c>
      <c r="E741" t="s">
        <v>30</v>
      </c>
      <c r="F741" t="s">
        <v>26</v>
      </c>
      <c r="G741" t="s">
        <v>19</v>
      </c>
      <c r="H741">
        <v>3</v>
      </c>
      <c r="I741">
        <v>10200</v>
      </c>
      <c r="J741" s="1">
        <v>44841</v>
      </c>
      <c r="K741" s="1">
        <v>45025</v>
      </c>
      <c r="L741">
        <v>108</v>
      </c>
      <c r="M741">
        <v>419</v>
      </c>
      <c r="N741" t="s">
        <v>20</v>
      </c>
      <c r="O741">
        <v>184</v>
      </c>
    </row>
    <row r="742" spans="1:15" x14ac:dyDescent="0.3">
      <c r="A742">
        <v>741</v>
      </c>
      <c r="B742" t="s">
        <v>776</v>
      </c>
      <c r="C742">
        <v>54</v>
      </c>
      <c r="D742" t="s">
        <v>29</v>
      </c>
      <c r="E742" t="s">
        <v>17</v>
      </c>
      <c r="F742" t="s">
        <v>18</v>
      </c>
      <c r="G742" t="s">
        <v>19</v>
      </c>
      <c r="H742">
        <v>2</v>
      </c>
      <c r="I742">
        <v>3200</v>
      </c>
      <c r="J742" s="1">
        <v>44760</v>
      </c>
      <c r="K742" s="1">
        <v>45152</v>
      </c>
      <c r="L742">
        <v>1260</v>
      </c>
      <c r="M742">
        <v>292</v>
      </c>
      <c r="N742" t="s">
        <v>20</v>
      </c>
      <c r="O742">
        <v>392</v>
      </c>
    </row>
    <row r="743" spans="1:15" x14ac:dyDescent="0.3">
      <c r="A743">
        <v>742</v>
      </c>
      <c r="B743" t="s">
        <v>777</v>
      </c>
      <c r="C743">
        <v>41</v>
      </c>
      <c r="D743" t="s">
        <v>52</v>
      </c>
      <c r="E743" t="s">
        <v>17</v>
      </c>
      <c r="F743" t="s">
        <v>31</v>
      </c>
      <c r="G743" t="s">
        <v>27</v>
      </c>
      <c r="H743">
        <v>6</v>
      </c>
      <c r="I743">
        <v>11400</v>
      </c>
      <c r="J743" s="1">
        <v>44870</v>
      </c>
      <c r="K743" s="1">
        <v>45008</v>
      </c>
      <c r="L743">
        <v>318</v>
      </c>
      <c r="M743">
        <v>436</v>
      </c>
      <c r="N743" t="s">
        <v>20</v>
      </c>
      <c r="O743">
        <v>138</v>
      </c>
    </row>
    <row r="744" spans="1:15" x14ac:dyDescent="0.3">
      <c r="A744">
        <v>743</v>
      </c>
      <c r="B744" t="s">
        <v>778</v>
      </c>
      <c r="C744">
        <v>29</v>
      </c>
      <c r="D744" t="s">
        <v>16</v>
      </c>
      <c r="E744" t="s">
        <v>30</v>
      </c>
      <c r="F744" t="s">
        <v>31</v>
      </c>
      <c r="G744" t="s">
        <v>19</v>
      </c>
      <c r="H744">
        <v>9</v>
      </c>
      <c r="I744">
        <v>47700</v>
      </c>
      <c r="J744" s="1">
        <v>44943</v>
      </c>
      <c r="K744" s="1">
        <v>45341</v>
      </c>
      <c r="L744">
        <v>549</v>
      </c>
      <c r="M744">
        <v>103</v>
      </c>
      <c r="N744" t="s">
        <v>47</v>
      </c>
      <c r="O744">
        <v>398</v>
      </c>
    </row>
    <row r="745" spans="1:15" x14ac:dyDescent="0.3">
      <c r="A745">
        <v>744</v>
      </c>
      <c r="B745" t="s">
        <v>779</v>
      </c>
      <c r="C745">
        <v>34</v>
      </c>
      <c r="D745" t="s">
        <v>22</v>
      </c>
      <c r="E745" t="s">
        <v>30</v>
      </c>
      <c r="F745" t="s">
        <v>31</v>
      </c>
      <c r="G745" t="s">
        <v>19</v>
      </c>
      <c r="H745">
        <v>3</v>
      </c>
      <c r="I745">
        <v>21300</v>
      </c>
      <c r="J745" s="1">
        <v>44788</v>
      </c>
      <c r="K745" s="1">
        <v>45213</v>
      </c>
      <c r="L745">
        <v>126</v>
      </c>
      <c r="M745">
        <v>231</v>
      </c>
      <c r="N745" t="s">
        <v>20</v>
      </c>
      <c r="O745">
        <v>425</v>
      </c>
    </row>
    <row r="746" spans="1:15" x14ac:dyDescent="0.3">
      <c r="A746">
        <v>745</v>
      </c>
      <c r="B746" t="s">
        <v>780</v>
      </c>
      <c r="C746">
        <v>28</v>
      </c>
      <c r="D746" t="s">
        <v>16</v>
      </c>
      <c r="E746" t="s">
        <v>36</v>
      </c>
      <c r="F746" t="s">
        <v>26</v>
      </c>
      <c r="G746" t="s">
        <v>19</v>
      </c>
      <c r="H746">
        <v>3</v>
      </c>
      <c r="I746">
        <v>16800</v>
      </c>
      <c r="J746" s="1">
        <v>45053</v>
      </c>
      <c r="K746" s="1">
        <v>45231</v>
      </c>
      <c r="L746">
        <v>87</v>
      </c>
      <c r="M746">
        <v>213</v>
      </c>
      <c r="N746" t="s">
        <v>20</v>
      </c>
      <c r="O746">
        <v>178</v>
      </c>
    </row>
    <row r="747" spans="1:15" x14ac:dyDescent="0.3">
      <c r="A747">
        <v>746</v>
      </c>
      <c r="B747" t="s">
        <v>781</v>
      </c>
      <c r="C747">
        <v>54</v>
      </c>
      <c r="D747" t="s">
        <v>29</v>
      </c>
      <c r="E747" t="s">
        <v>25</v>
      </c>
      <c r="F747" t="s">
        <v>26</v>
      </c>
      <c r="G747" t="s">
        <v>27</v>
      </c>
      <c r="H747">
        <v>6</v>
      </c>
      <c r="I747">
        <v>10200</v>
      </c>
      <c r="J747" s="1">
        <v>44873</v>
      </c>
      <c r="K747" s="1">
        <v>44887</v>
      </c>
      <c r="L747">
        <v>102</v>
      </c>
      <c r="M747">
        <v>557</v>
      </c>
      <c r="N747" t="s">
        <v>20</v>
      </c>
      <c r="O747">
        <v>14</v>
      </c>
    </row>
    <row r="748" spans="1:15" x14ac:dyDescent="0.3">
      <c r="A748">
        <v>747</v>
      </c>
      <c r="B748" t="s">
        <v>782</v>
      </c>
      <c r="C748">
        <v>40</v>
      </c>
      <c r="D748" t="s">
        <v>40</v>
      </c>
      <c r="E748" t="s">
        <v>25</v>
      </c>
      <c r="F748" t="s">
        <v>31</v>
      </c>
      <c r="G748" t="s">
        <v>19</v>
      </c>
      <c r="H748">
        <v>3</v>
      </c>
      <c r="I748">
        <v>5700</v>
      </c>
      <c r="J748" s="1">
        <v>44695</v>
      </c>
      <c r="K748" s="1">
        <v>44735</v>
      </c>
      <c r="L748">
        <v>171</v>
      </c>
      <c r="M748">
        <v>709</v>
      </c>
      <c r="N748" t="s">
        <v>20</v>
      </c>
      <c r="O748">
        <v>40</v>
      </c>
    </row>
    <row r="749" spans="1:15" x14ac:dyDescent="0.3">
      <c r="A749">
        <v>748</v>
      </c>
      <c r="B749" t="s">
        <v>783</v>
      </c>
      <c r="C749">
        <v>48</v>
      </c>
      <c r="D749" t="s">
        <v>16</v>
      </c>
      <c r="E749" t="s">
        <v>17</v>
      </c>
      <c r="F749" t="s">
        <v>23</v>
      </c>
      <c r="G749" t="s">
        <v>33</v>
      </c>
      <c r="H749">
        <v>1</v>
      </c>
      <c r="I749">
        <v>900</v>
      </c>
      <c r="J749" s="1">
        <v>44672</v>
      </c>
      <c r="K749" s="1">
        <v>44688</v>
      </c>
      <c r="L749">
        <v>142</v>
      </c>
      <c r="M749">
        <v>756</v>
      </c>
      <c r="N749" t="s">
        <v>20</v>
      </c>
      <c r="O749">
        <v>16</v>
      </c>
    </row>
    <row r="750" spans="1:15" x14ac:dyDescent="0.3">
      <c r="A750">
        <v>749</v>
      </c>
      <c r="B750" t="s">
        <v>784</v>
      </c>
      <c r="C750">
        <v>23</v>
      </c>
      <c r="D750" t="s">
        <v>63</v>
      </c>
      <c r="E750" t="s">
        <v>36</v>
      </c>
      <c r="F750" t="s">
        <v>23</v>
      </c>
      <c r="G750" t="s">
        <v>19</v>
      </c>
      <c r="H750">
        <v>2</v>
      </c>
      <c r="I750">
        <v>29800</v>
      </c>
      <c r="J750" s="1">
        <v>44572</v>
      </c>
      <c r="K750" s="1">
        <v>44958</v>
      </c>
      <c r="L750">
        <v>232</v>
      </c>
      <c r="M750">
        <v>486</v>
      </c>
      <c r="N750" t="s">
        <v>20</v>
      </c>
      <c r="O750">
        <v>386</v>
      </c>
    </row>
    <row r="751" spans="1:15" x14ac:dyDescent="0.3">
      <c r="A751">
        <v>750</v>
      </c>
      <c r="B751" t="s">
        <v>785</v>
      </c>
      <c r="C751">
        <v>63</v>
      </c>
      <c r="D751" t="s">
        <v>16</v>
      </c>
      <c r="E751" t="s">
        <v>25</v>
      </c>
      <c r="F751" t="s">
        <v>31</v>
      </c>
      <c r="G751" t="s">
        <v>19</v>
      </c>
      <c r="H751">
        <v>6</v>
      </c>
      <c r="I751">
        <v>6600</v>
      </c>
      <c r="J751" s="1">
        <v>44654</v>
      </c>
      <c r="K751" s="1">
        <v>44728</v>
      </c>
      <c r="L751">
        <v>282</v>
      </c>
      <c r="M751">
        <v>716</v>
      </c>
      <c r="N751" t="s">
        <v>20</v>
      </c>
      <c r="O751">
        <v>74</v>
      </c>
    </row>
    <row r="752" spans="1:15" x14ac:dyDescent="0.3">
      <c r="A752">
        <v>751</v>
      </c>
      <c r="B752" t="s">
        <v>786</v>
      </c>
      <c r="C752">
        <v>60</v>
      </c>
      <c r="D752" t="s">
        <v>29</v>
      </c>
      <c r="E752" t="s">
        <v>30</v>
      </c>
      <c r="F752" t="s">
        <v>31</v>
      </c>
      <c r="G752" t="s">
        <v>27</v>
      </c>
      <c r="H752">
        <v>4</v>
      </c>
      <c r="I752">
        <v>28400</v>
      </c>
      <c r="J752" s="1">
        <v>45145</v>
      </c>
      <c r="K752" s="1">
        <v>45179</v>
      </c>
      <c r="L752">
        <v>144</v>
      </c>
      <c r="M752">
        <v>265</v>
      </c>
      <c r="N752" t="s">
        <v>20</v>
      </c>
      <c r="O752">
        <v>34</v>
      </c>
    </row>
    <row r="753" spans="1:15" x14ac:dyDescent="0.3">
      <c r="A753">
        <v>752</v>
      </c>
      <c r="B753" t="s">
        <v>787</v>
      </c>
      <c r="C753">
        <v>31</v>
      </c>
      <c r="D753" t="s">
        <v>63</v>
      </c>
      <c r="E753" t="s">
        <v>25</v>
      </c>
      <c r="F753" t="s">
        <v>31</v>
      </c>
      <c r="G753" t="s">
        <v>19</v>
      </c>
      <c r="H753">
        <v>9</v>
      </c>
      <c r="I753">
        <v>9000</v>
      </c>
      <c r="J753" s="1">
        <v>44663</v>
      </c>
      <c r="K753" s="1">
        <v>45136</v>
      </c>
      <c r="L753">
        <v>387</v>
      </c>
      <c r="M753">
        <v>308</v>
      </c>
      <c r="N753" t="s">
        <v>20</v>
      </c>
      <c r="O753">
        <v>473</v>
      </c>
    </row>
    <row r="754" spans="1:15" x14ac:dyDescent="0.3">
      <c r="A754">
        <v>753</v>
      </c>
      <c r="B754" t="s">
        <v>788</v>
      </c>
      <c r="C754">
        <v>64</v>
      </c>
      <c r="D754" t="s">
        <v>46</v>
      </c>
      <c r="E754" t="s">
        <v>30</v>
      </c>
      <c r="F754" t="s">
        <v>31</v>
      </c>
      <c r="G754" t="s">
        <v>33</v>
      </c>
      <c r="H754">
        <v>2</v>
      </c>
      <c r="I754">
        <v>9000</v>
      </c>
      <c r="J754" s="1">
        <v>44925</v>
      </c>
      <c r="K754" s="1">
        <v>45119</v>
      </c>
      <c r="L754">
        <v>114</v>
      </c>
      <c r="M754">
        <v>325</v>
      </c>
      <c r="N754" t="s">
        <v>20</v>
      </c>
      <c r="O754">
        <v>194</v>
      </c>
    </row>
    <row r="755" spans="1:15" x14ac:dyDescent="0.3">
      <c r="A755">
        <v>754</v>
      </c>
      <c r="B755" t="s">
        <v>789</v>
      </c>
      <c r="C755">
        <v>41</v>
      </c>
      <c r="D755" t="s">
        <v>40</v>
      </c>
      <c r="E755" t="s">
        <v>25</v>
      </c>
      <c r="F755" t="s">
        <v>26</v>
      </c>
      <c r="G755" t="s">
        <v>19</v>
      </c>
      <c r="H755">
        <v>2</v>
      </c>
      <c r="I755">
        <v>5800</v>
      </c>
      <c r="J755" s="1">
        <v>44674</v>
      </c>
      <c r="K755" s="1">
        <v>44940</v>
      </c>
      <c r="L755">
        <v>36</v>
      </c>
      <c r="M755">
        <v>504</v>
      </c>
      <c r="N755" t="s">
        <v>20</v>
      </c>
      <c r="O755">
        <v>266</v>
      </c>
    </row>
    <row r="756" spans="1:15" x14ac:dyDescent="0.3">
      <c r="A756">
        <v>755</v>
      </c>
      <c r="B756" t="s">
        <v>790</v>
      </c>
      <c r="C756">
        <v>23</v>
      </c>
      <c r="D756" t="s">
        <v>46</v>
      </c>
      <c r="E756" t="s">
        <v>30</v>
      </c>
      <c r="F756" t="s">
        <v>18</v>
      </c>
      <c r="G756" t="s">
        <v>27</v>
      </c>
      <c r="H756">
        <v>2</v>
      </c>
      <c r="I756">
        <v>11400</v>
      </c>
      <c r="J756" s="1">
        <v>45067</v>
      </c>
      <c r="K756" s="1">
        <v>45126</v>
      </c>
      <c r="L756">
        <v>1228</v>
      </c>
      <c r="M756">
        <v>318</v>
      </c>
      <c r="N756" t="s">
        <v>20</v>
      </c>
      <c r="O756">
        <v>59</v>
      </c>
    </row>
    <row r="757" spans="1:15" x14ac:dyDescent="0.3">
      <c r="A757">
        <v>756</v>
      </c>
      <c r="B757" t="s">
        <v>791</v>
      </c>
      <c r="C757">
        <v>35</v>
      </c>
      <c r="D757" t="s">
        <v>38</v>
      </c>
      <c r="E757" t="s">
        <v>36</v>
      </c>
      <c r="F757" t="s">
        <v>18</v>
      </c>
      <c r="G757" t="s">
        <v>33</v>
      </c>
      <c r="H757">
        <v>9</v>
      </c>
      <c r="I757">
        <v>164700</v>
      </c>
      <c r="J757" s="1">
        <v>44859</v>
      </c>
      <c r="K757" s="1">
        <v>45296</v>
      </c>
      <c r="L757">
        <v>5553</v>
      </c>
      <c r="M757">
        <v>148</v>
      </c>
      <c r="N757" t="s">
        <v>47</v>
      </c>
      <c r="O757">
        <v>437</v>
      </c>
    </row>
    <row r="758" spans="1:15" x14ac:dyDescent="0.3">
      <c r="A758">
        <v>757</v>
      </c>
      <c r="B758" t="s">
        <v>792</v>
      </c>
      <c r="C758">
        <v>32</v>
      </c>
      <c r="D758" t="s">
        <v>40</v>
      </c>
      <c r="E758" t="s">
        <v>17</v>
      </c>
      <c r="F758" t="s">
        <v>26</v>
      </c>
      <c r="G758" t="s">
        <v>19</v>
      </c>
      <c r="H758">
        <v>1</v>
      </c>
      <c r="I758">
        <v>1900</v>
      </c>
      <c r="J758" s="1">
        <v>45065</v>
      </c>
      <c r="K758" s="1">
        <v>45409</v>
      </c>
      <c r="L758">
        <v>16</v>
      </c>
      <c r="M758">
        <v>35</v>
      </c>
      <c r="N758" t="s">
        <v>47</v>
      </c>
      <c r="O758">
        <v>344</v>
      </c>
    </row>
    <row r="759" spans="1:15" x14ac:dyDescent="0.3">
      <c r="A759">
        <v>758</v>
      </c>
      <c r="B759" t="s">
        <v>793</v>
      </c>
      <c r="C759">
        <v>30</v>
      </c>
      <c r="D759" t="s">
        <v>22</v>
      </c>
      <c r="E759" t="s">
        <v>36</v>
      </c>
      <c r="F759" t="s">
        <v>23</v>
      </c>
      <c r="G759" t="s">
        <v>19</v>
      </c>
      <c r="H759">
        <v>7</v>
      </c>
      <c r="I759">
        <v>126700</v>
      </c>
      <c r="J759" s="1">
        <v>44666</v>
      </c>
      <c r="K759" s="1">
        <v>45045</v>
      </c>
      <c r="L759">
        <v>840</v>
      </c>
      <c r="M759">
        <v>399</v>
      </c>
      <c r="N759" t="s">
        <v>20</v>
      </c>
      <c r="O759">
        <v>379</v>
      </c>
    </row>
    <row r="760" spans="1:15" x14ac:dyDescent="0.3">
      <c r="A760">
        <v>759</v>
      </c>
      <c r="B760" t="s">
        <v>794</v>
      </c>
      <c r="C760">
        <v>33</v>
      </c>
      <c r="D760" t="s">
        <v>16</v>
      </c>
      <c r="E760" t="s">
        <v>30</v>
      </c>
      <c r="F760" t="s">
        <v>31</v>
      </c>
      <c r="G760" t="s">
        <v>19</v>
      </c>
      <c r="H760">
        <v>10</v>
      </c>
      <c r="I760">
        <v>99000</v>
      </c>
      <c r="J760" s="1">
        <v>44975</v>
      </c>
      <c r="K760" s="1">
        <v>45037</v>
      </c>
      <c r="L760">
        <v>440</v>
      </c>
      <c r="M760">
        <v>407</v>
      </c>
      <c r="N760" t="s">
        <v>20</v>
      </c>
      <c r="O760">
        <v>62</v>
      </c>
    </row>
    <row r="761" spans="1:15" x14ac:dyDescent="0.3">
      <c r="A761">
        <v>760</v>
      </c>
      <c r="B761" t="s">
        <v>795</v>
      </c>
      <c r="C761">
        <v>58</v>
      </c>
      <c r="D761" t="s">
        <v>22</v>
      </c>
      <c r="E761" t="s">
        <v>36</v>
      </c>
      <c r="F761" t="s">
        <v>18</v>
      </c>
      <c r="G761" t="s">
        <v>27</v>
      </c>
      <c r="H761">
        <v>5</v>
      </c>
      <c r="I761">
        <v>90500</v>
      </c>
      <c r="J761" s="1">
        <v>44926</v>
      </c>
      <c r="K761" s="1">
        <v>45169</v>
      </c>
      <c r="L761">
        <v>3140</v>
      </c>
      <c r="M761">
        <v>275</v>
      </c>
      <c r="N761" t="s">
        <v>20</v>
      </c>
      <c r="O761">
        <v>243</v>
      </c>
    </row>
    <row r="762" spans="1:15" x14ac:dyDescent="0.3">
      <c r="A762">
        <v>761</v>
      </c>
      <c r="B762" t="s">
        <v>796</v>
      </c>
      <c r="C762">
        <v>50</v>
      </c>
      <c r="D762" t="s">
        <v>22</v>
      </c>
      <c r="E762" t="s">
        <v>36</v>
      </c>
      <c r="F762" t="s">
        <v>18</v>
      </c>
      <c r="G762" t="s">
        <v>19</v>
      </c>
      <c r="H762">
        <v>2</v>
      </c>
      <c r="I762">
        <v>18000</v>
      </c>
      <c r="J762" s="1">
        <v>44818</v>
      </c>
      <c r="K762" s="1">
        <v>45068</v>
      </c>
      <c r="L762">
        <v>1242</v>
      </c>
      <c r="M762">
        <v>376</v>
      </c>
      <c r="N762" t="s">
        <v>20</v>
      </c>
      <c r="O762">
        <v>250</v>
      </c>
    </row>
    <row r="763" spans="1:15" x14ac:dyDescent="0.3">
      <c r="A763">
        <v>762</v>
      </c>
      <c r="B763" t="s">
        <v>797</v>
      </c>
      <c r="C763">
        <v>24</v>
      </c>
      <c r="D763" t="s">
        <v>40</v>
      </c>
      <c r="E763" t="s">
        <v>25</v>
      </c>
      <c r="F763" t="s">
        <v>23</v>
      </c>
      <c r="G763" t="s">
        <v>19</v>
      </c>
      <c r="H763">
        <v>2</v>
      </c>
      <c r="I763">
        <v>6000</v>
      </c>
      <c r="J763" s="1">
        <v>44589</v>
      </c>
      <c r="K763" s="1">
        <v>45086</v>
      </c>
      <c r="L763">
        <v>242</v>
      </c>
      <c r="M763">
        <v>358</v>
      </c>
      <c r="N763" t="s">
        <v>20</v>
      </c>
      <c r="O763">
        <v>497</v>
      </c>
    </row>
    <row r="764" spans="1:15" x14ac:dyDescent="0.3">
      <c r="A764">
        <v>763</v>
      </c>
      <c r="B764" t="s">
        <v>798</v>
      </c>
      <c r="C764">
        <v>60</v>
      </c>
      <c r="D764" t="s">
        <v>22</v>
      </c>
      <c r="E764" t="s">
        <v>30</v>
      </c>
      <c r="F764" t="s">
        <v>31</v>
      </c>
      <c r="G764" t="s">
        <v>19</v>
      </c>
      <c r="H764">
        <v>10</v>
      </c>
      <c r="I764">
        <v>38000</v>
      </c>
      <c r="J764" s="1">
        <v>44640</v>
      </c>
      <c r="K764" s="1">
        <v>44978</v>
      </c>
      <c r="L764">
        <v>630</v>
      </c>
      <c r="M764">
        <v>466</v>
      </c>
      <c r="N764" t="s">
        <v>20</v>
      </c>
      <c r="O764">
        <v>338</v>
      </c>
    </row>
    <row r="765" spans="1:15" x14ac:dyDescent="0.3">
      <c r="A765">
        <v>764</v>
      </c>
      <c r="B765" t="s">
        <v>799</v>
      </c>
      <c r="C765">
        <v>63</v>
      </c>
      <c r="D765" t="s">
        <v>46</v>
      </c>
      <c r="E765" t="s">
        <v>36</v>
      </c>
      <c r="F765" t="s">
        <v>31</v>
      </c>
      <c r="G765" t="s">
        <v>19</v>
      </c>
      <c r="H765">
        <v>8</v>
      </c>
      <c r="I765">
        <v>168800</v>
      </c>
      <c r="J765" s="1">
        <v>45078</v>
      </c>
      <c r="K765" s="1">
        <v>45211</v>
      </c>
      <c r="L765">
        <v>512</v>
      </c>
      <c r="M765">
        <v>233</v>
      </c>
      <c r="N765" t="s">
        <v>20</v>
      </c>
      <c r="O765">
        <v>133</v>
      </c>
    </row>
    <row r="766" spans="1:15" x14ac:dyDescent="0.3">
      <c r="A766">
        <v>765</v>
      </c>
      <c r="B766" t="s">
        <v>800</v>
      </c>
      <c r="C766">
        <v>28</v>
      </c>
      <c r="D766" t="s">
        <v>29</v>
      </c>
      <c r="E766" t="s">
        <v>17</v>
      </c>
      <c r="F766" t="s">
        <v>23</v>
      </c>
      <c r="G766" t="s">
        <v>33</v>
      </c>
      <c r="H766">
        <v>7</v>
      </c>
      <c r="I766">
        <v>9800</v>
      </c>
      <c r="J766" s="1">
        <v>44884</v>
      </c>
      <c r="K766" s="1">
        <v>45320</v>
      </c>
      <c r="L766">
        <v>938</v>
      </c>
      <c r="M766">
        <v>124</v>
      </c>
      <c r="N766" t="s">
        <v>47</v>
      </c>
      <c r="O766">
        <v>436</v>
      </c>
    </row>
    <row r="767" spans="1:15" x14ac:dyDescent="0.3">
      <c r="A767">
        <v>766</v>
      </c>
      <c r="B767" t="s">
        <v>801</v>
      </c>
      <c r="C767">
        <v>32</v>
      </c>
      <c r="D767" t="s">
        <v>46</v>
      </c>
      <c r="E767" t="s">
        <v>36</v>
      </c>
      <c r="F767" t="s">
        <v>23</v>
      </c>
      <c r="G767" t="s">
        <v>19</v>
      </c>
      <c r="H767">
        <v>9</v>
      </c>
      <c r="I767">
        <v>134100</v>
      </c>
      <c r="J767" s="1">
        <v>44730</v>
      </c>
      <c r="K767" s="1">
        <v>44981</v>
      </c>
      <c r="L767">
        <v>1233</v>
      </c>
      <c r="M767">
        <v>463</v>
      </c>
      <c r="N767" t="s">
        <v>20</v>
      </c>
      <c r="O767">
        <v>251</v>
      </c>
    </row>
    <row r="768" spans="1:15" x14ac:dyDescent="0.3">
      <c r="A768">
        <v>767</v>
      </c>
      <c r="B768" t="s">
        <v>802</v>
      </c>
      <c r="C768">
        <v>28</v>
      </c>
      <c r="D768" t="s">
        <v>52</v>
      </c>
      <c r="E768" t="s">
        <v>30</v>
      </c>
      <c r="F768" t="s">
        <v>26</v>
      </c>
      <c r="G768" t="s">
        <v>33</v>
      </c>
      <c r="H768">
        <v>10</v>
      </c>
      <c r="I768">
        <v>85000</v>
      </c>
      <c r="J768" s="1">
        <v>45064</v>
      </c>
      <c r="K768" s="1">
        <v>45401</v>
      </c>
      <c r="L768">
        <v>450</v>
      </c>
      <c r="M768">
        <v>43</v>
      </c>
      <c r="N768" t="s">
        <v>47</v>
      </c>
      <c r="O768">
        <v>337</v>
      </c>
    </row>
    <row r="769" spans="1:15" x14ac:dyDescent="0.3">
      <c r="A769">
        <v>768</v>
      </c>
      <c r="B769" t="s">
        <v>803</v>
      </c>
      <c r="C769">
        <v>24</v>
      </c>
      <c r="D769" t="s">
        <v>46</v>
      </c>
      <c r="E769" t="s">
        <v>36</v>
      </c>
      <c r="F769" t="s">
        <v>31</v>
      </c>
      <c r="G769" t="s">
        <v>27</v>
      </c>
      <c r="H769">
        <v>7</v>
      </c>
      <c r="I769">
        <v>95200</v>
      </c>
      <c r="J769" s="1">
        <v>45068</v>
      </c>
      <c r="K769" s="1">
        <v>45370</v>
      </c>
      <c r="L769">
        <v>378</v>
      </c>
      <c r="M769">
        <v>74</v>
      </c>
      <c r="N769" t="s">
        <v>47</v>
      </c>
      <c r="O769">
        <v>302</v>
      </c>
    </row>
    <row r="770" spans="1:15" x14ac:dyDescent="0.3">
      <c r="A770">
        <v>769</v>
      </c>
      <c r="B770" t="s">
        <v>804</v>
      </c>
      <c r="C770">
        <v>22</v>
      </c>
      <c r="D770" t="s">
        <v>29</v>
      </c>
      <c r="E770" t="s">
        <v>30</v>
      </c>
      <c r="F770" t="s">
        <v>18</v>
      </c>
      <c r="G770" t="s">
        <v>19</v>
      </c>
      <c r="H770">
        <v>10</v>
      </c>
      <c r="I770">
        <v>34000</v>
      </c>
      <c r="J770" s="1">
        <v>44693</v>
      </c>
      <c r="K770" s="1">
        <v>45121</v>
      </c>
      <c r="L770">
        <v>6130</v>
      </c>
      <c r="M770">
        <v>323</v>
      </c>
      <c r="N770" t="s">
        <v>20</v>
      </c>
      <c r="O770">
        <v>428</v>
      </c>
    </row>
    <row r="771" spans="1:15" x14ac:dyDescent="0.3">
      <c r="A771">
        <v>770</v>
      </c>
      <c r="B771" t="s">
        <v>805</v>
      </c>
      <c r="C771">
        <v>27</v>
      </c>
      <c r="D771" t="s">
        <v>29</v>
      </c>
      <c r="E771" t="s">
        <v>17</v>
      </c>
      <c r="F771" t="s">
        <v>18</v>
      </c>
      <c r="G771" t="s">
        <v>33</v>
      </c>
      <c r="H771">
        <v>7</v>
      </c>
      <c r="I771">
        <v>8400</v>
      </c>
      <c r="J771" s="1">
        <v>44927</v>
      </c>
      <c r="K771" s="1">
        <v>45137</v>
      </c>
      <c r="L771">
        <v>4284</v>
      </c>
      <c r="M771">
        <v>307</v>
      </c>
      <c r="N771" t="s">
        <v>20</v>
      </c>
      <c r="O771">
        <v>210</v>
      </c>
    </row>
    <row r="772" spans="1:15" x14ac:dyDescent="0.3">
      <c r="A772">
        <v>771</v>
      </c>
      <c r="B772" t="s">
        <v>806</v>
      </c>
      <c r="C772">
        <v>62</v>
      </c>
      <c r="D772" t="s">
        <v>63</v>
      </c>
      <c r="E772" t="s">
        <v>25</v>
      </c>
      <c r="F772" t="s">
        <v>31</v>
      </c>
      <c r="G772" t="s">
        <v>19</v>
      </c>
      <c r="H772">
        <v>5</v>
      </c>
      <c r="I772">
        <v>17000</v>
      </c>
      <c r="J772" s="1">
        <v>44648</v>
      </c>
      <c r="K772" s="1">
        <v>45114</v>
      </c>
      <c r="L772">
        <v>170</v>
      </c>
      <c r="M772">
        <v>330</v>
      </c>
      <c r="N772" t="s">
        <v>20</v>
      </c>
      <c r="O772">
        <v>466</v>
      </c>
    </row>
    <row r="773" spans="1:15" x14ac:dyDescent="0.3">
      <c r="A773">
        <v>772</v>
      </c>
      <c r="B773" t="s">
        <v>807</v>
      </c>
      <c r="C773">
        <v>22</v>
      </c>
      <c r="D773" t="s">
        <v>38</v>
      </c>
      <c r="E773" t="s">
        <v>17</v>
      </c>
      <c r="F773" t="s">
        <v>18</v>
      </c>
      <c r="G773" t="s">
        <v>19</v>
      </c>
      <c r="H773">
        <v>9</v>
      </c>
      <c r="I773">
        <v>10800</v>
      </c>
      <c r="J773" s="1">
        <v>44600</v>
      </c>
      <c r="K773" s="1">
        <v>44835</v>
      </c>
      <c r="L773">
        <v>5553</v>
      </c>
      <c r="M773">
        <v>609</v>
      </c>
      <c r="N773" t="s">
        <v>20</v>
      </c>
      <c r="O773">
        <v>235</v>
      </c>
    </row>
    <row r="774" spans="1:15" x14ac:dyDescent="0.3">
      <c r="A774">
        <v>773</v>
      </c>
      <c r="B774" t="s">
        <v>808</v>
      </c>
      <c r="C774">
        <v>58</v>
      </c>
      <c r="D774" t="s">
        <v>22</v>
      </c>
      <c r="E774" t="s">
        <v>30</v>
      </c>
      <c r="F774" t="s">
        <v>23</v>
      </c>
      <c r="G774" t="s">
        <v>33</v>
      </c>
      <c r="H774">
        <v>1</v>
      </c>
      <c r="I774">
        <v>5600</v>
      </c>
      <c r="J774" s="1">
        <v>44948</v>
      </c>
      <c r="K774" s="1">
        <v>45240</v>
      </c>
      <c r="L774">
        <v>134</v>
      </c>
      <c r="M774">
        <v>204</v>
      </c>
      <c r="N774" t="s">
        <v>20</v>
      </c>
      <c r="O774">
        <v>292</v>
      </c>
    </row>
    <row r="775" spans="1:15" x14ac:dyDescent="0.3">
      <c r="A775">
        <v>774</v>
      </c>
      <c r="B775" t="s">
        <v>809</v>
      </c>
      <c r="C775">
        <v>65</v>
      </c>
      <c r="D775" t="s">
        <v>29</v>
      </c>
      <c r="E775" t="s">
        <v>17</v>
      </c>
      <c r="F775" t="s">
        <v>26</v>
      </c>
      <c r="G775" t="s">
        <v>19</v>
      </c>
      <c r="H775">
        <v>4</v>
      </c>
      <c r="I775">
        <v>4800</v>
      </c>
      <c r="J775" s="1">
        <v>45070</v>
      </c>
      <c r="K775" s="1">
        <v>45327</v>
      </c>
      <c r="L775">
        <v>124</v>
      </c>
      <c r="M775">
        <v>117</v>
      </c>
      <c r="N775" t="s">
        <v>47</v>
      </c>
      <c r="O775">
        <v>257</v>
      </c>
    </row>
    <row r="776" spans="1:15" x14ac:dyDescent="0.3">
      <c r="A776">
        <v>775</v>
      </c>
      <c r="B776" t="s">
        <v>810</v>
      </c>
      <c r="C776">
        <v>33</v>
      </c>
      <c r="D776" t="s">
        <v>52</v>
      </c>
      <c r="E776" t="s">
        <v>30</v>
      </c>
      <c r="F776" t="s">
        <v>18</v>
      </c>
      <c r="G776" t="s">
        <v>33</v>
      </c>
      <c r="H776">
        <v>8</v>
      </c>
      <c r="I776">
        <v>65600</v>
      </c>
      <c r="J776" s="1">
        <v>44639</v>
      </c>
      <c r="K776" s="1">
        <v>45069</v>
      </c>
      <c r="L776">
        <v>4992</v>
      </c>
      <c r="M776">
        <v>375</v>
      </c>
      <c r="N776" t="s">
        <v>20</v>
      </c>
      <c r="O776">
        <v>430</v>
      </c>
    </row>
    <row r="777" spans="1:15" x14ac:dyDescent="0.3">
      <c r="A777">
        <v>776</v>
      </c>
      <c r="B777" t="s">
        <v>811</v>
      </c>
      <c r="C777">
        <v>40</v>
      </c>
      <c r="D777" t="s">
        <v>40</v>
      </c>
      <c r="E777" t="s">
        <v>30</v>
      </c>
      <c r="F777" t="s">
        <v>18</v>
      </c>
      <c r="G777" t="s">
        <v>19</v>
      </c>
      <c r="H777">
        <v>10</v>
      </c>
      <c r="I777">
        <v>63000</v>
      </c>
      <c r="J777" s="1">
        <v>44793</v>
      </c>
      <c r="K777" s="1">
        <v>45112</v>
      </c>
      <c r="L777">
        <v>5950</v>
      </c>
      <c r="M777">
        <v>332</v>
      </c>
      <c r="N777" t="s">
        <v>20</v>
      </c>
      <c r="O777">
        <v>319</v>
      </c>
    </row>
    <row r="778" spans="1:15" x14ac:dyDescent="0.3">
      <c r="A778">
        <v>777</v>
      </c>
      <c r="B778" t="s">
        <v>812</v>
      </c>
      <c r="C778">
        <v>57</v>
      </c>
      <c r="D778" t="s">
        <v>16</v>
      </c>
      <c r="E778" t="s">
        <v>30</v>
      </c>
      <c r="F778" t="s">
        <v>18</v>
      </c>
      <c r="G778" t="s">
        <v>19</v>
      </c>
      <c r="H778">
        <v>9</v>
      </c>
      <c r="I778">
        <v>62100</v>
      </c>
      <c r="J778" s="1">
        <v>44999</v>
      </c>
      <c r="K778" s="1">
        <v>45106</v>
      </c>
      <c r="L778">
        <v>5508</v>
      </c>
      <c r="M778">
        <v>338</v>
      </c>
      <c r="N778" t="s">
        <v>20</v>
      </c>
      <c r="O778">
        <v>107</v>
      </c>
    </row>
    <row r="779" spans="1:15" x14ac:dyDescent="0.3">
      <c r="A779">
        <v>778</v>
      </c>
      <c r="B779" t="s">
        <v>813</v>
      </c>
      <c r="C779">
        <v>63</v>
      </c>
      <c r="D779" t="s">
        <v>16</v>
      </c>
      <c r="E779" t="s">
        <v>30</v>
      </c>
      <c r="F779" t="s">
        <v>18</v>
      </c>
      <c r="G779" t="s">
        <v>33</v>
      </c>
      <c r="H779">
        <v>9</v>
      </c>
      <c r="I779">
        <v>50400</v>
      </c>
      <c r="J779" s="1">
        <v>44766</v>
      </c>
      <c r="K779" s="1">
        <v>44978</v>
      </c>
      <c r="L779">
        <v>5535</v>
      </c>
      <c r="M779">
        <v>466</v>
      </c>
      <c r="N779" t="s">
        <v>20</v>
      </c>
      <c r="O779">
        <v>212</v>
      </c>
    </row>
    <row r="780" spans="1:15" x14ac:dyDescent="0.3">
      <c r="A780">
        <v>779</v>
      </c>
      <c r="B780" t="s">
        <v>814</v>
      </c>
      <c r="C780">
        <v>61</v>
      </c>
      <c r="D780" t="s">
        <v>38</v>
      </c>
      <c r="E780" t="s">
        <v>36</v>
      </c>
      <c r="F780" t="s">
        <v>31</v>
      </c>
      <c r="G780" t="s">
        <v>19</v>
      </c>
      <c r="H780">
        <v>9</v>
      </c>
      <c r="I780">
        <v>99900</v>
      </c>
      <c r="J780" s="1">
        <v>45152</v>
      </c>
      <c r="K780" s="1">
        <v>45407</v>
      </c>
      <c r="L780">
        <v>387</v>
      </c>
      <c r="M780">
        <v>37</v>
      </c>
      <c r="N780" t="s">
        <v>47</v>
      </c>
      <c r="O780">
        <v>255</v>
      </c>
    </row>
    <row r="781" spans="1:15" x14ac:dyDescent="0.3">
      <c r="A781">
        <v>780</v>
      </c>
      <c r="B781" t="s">
        <v>815</v>
      </c>
      <c r="C781">
        <v>61</v>
      </c>
      <c r="D781" t="s">
        <v>46</v>
      </c>
      <c r="E781" t="s">
        <v>30</v>
      </c>
      <c r="F781" t="s">
        <v>26</v>
      </c>
      <c r="G781" t="s">
        <v>27</v>
      </c>
      <c r="H781">
        <v>1</v>
      </c>
      <c r="I781">
        <v>7300</v>
      </c>
      <c r="J781" s="1">
        <v>44767</v>
      </c>
      <c r="K781" s="1">
        <v>44953</v>
      </c>
      <c r="L781">
        <v>39</v>
      </c>
      <c r="M781">
        <v>491</v>
      </c>
      <c r="N781" t="s">
        <v>20</v>
      </c>
      <c r="O781">
        <v>186</v>
      </c>
    </row>
    <row r="782" spans="1:15" x14ac:dyDescent="0.3">
      <c r="A782">
        <v>781</v>
      </c>
      <c r="B782" t="s">
        <v>816</v>
      </c>
      <c r="C782">
        <v>48</v>
      </c>
      <c r="D782" t="s">
        <v>52</v>
      </c>
      <c r="E782" t="s">
        <v>25</v>
      </c>
      <c r="F782" t="s">
        <v>31</v>
      </c>
      <c r="G782" t="s">
        <v>19</v>
      </c>
      <c r="H782">
        <v>7</v>
      </c>
      <c r="I782">
        <v>16100</v>
      </c>
      <c r="J782" s="1">
        <v>44627</v>
      </c>
      <c r="K782" s="1">
        <v>44951</v>
      </c>
      <c r="L782">
        <v>301</v>
      </c>
      <c r="M782">
        <v>493</v>
      </c>
      <c r="N782" t="s">
        <v>20</v>
      </c>
      <c r="O782">
        <v>324</v>
      </c>
    </row>
    <row r="783" spans="1:15" x14ac:dyDescent="0.3">
      <c r="A783">
        <v>782</v>
      </c>
      <c r="B783" t="s">
        <v>817</v>
      </c>
      <c r="C783">
        <v>37</v>
      </c>
      <c r="D783" t="s">
        <v>22</v>
      </c>
      <c r="E783" t="s">
        <v>30</v>
      </c>
      <c r="F783" t="s">
        <v>18</v>
      </c>
      <c r="G783" t="s">
        <v>19</v>
      </c>
      <c r="H783">
        <v>10</v>
      </c>
      <c r="I783">
        <v>49000</v>
      </c>
      <c r="J783" s="1">
        <v>44977</v>
      </c>
      <c r="K783" s="1">
        <v>45099</v>
      </c>
      <c r="L783">
        <v>5970</v>
      </c>
      <c r="M783">
        <v>345</v>
      </c>
      <c r="N783" t="s">
        <v>20</v>
      </c>
      <c r="O783">
        <v>122</v>
      </c>
    </row>
    <row r="784" spans="1:15" x14ac:dyDescent="0.3">
      <c r="A784">
        <v>783</v>
      </c>
      <c r="B784" t="s">
        <v>818</v>
      </c>
      <c r="C784">
        <v>40</v>
      </c>
      <c r="D784" t="s">
        <v>52</v>
      </c>
      <c r="E784" t="s">
        <v>25</v>
      </c>
      <c r="F784" t="s">
        <v>23</v>
      </c>
      <c r="G784" t="s">
        <v>19</v>
      </c>
      <c r="H784">
        <v>8</v>
      </c>
      <c r="I784">
        <v>24000</v>
      </c>
      <c r="J784" s="1">
        <v>45135</v>
      </c>
      <c r="K784" s="1">
        <v>45358</v>
      </c>
      <c r="L784">
        <v>1096</v>
      </c>
      <c r="M784">
        <v>86</v>
      </c>
      <c r="N784" t="s">
        <v>47</v>
      </c>
      <c r="O784">
        <v>223</v>
      </c>
    </row>
    <row r="785" spans="1:15" x14ac:dyDescent="0.3">
      <c r="A785">
        <v>784</v>
      </c>
      <c r="B785" t="s">
        <v>819</v>
      </c>
      <c r="C785">
        <v>29</v>
      </c>
      <c r="D785" t="s">
        <v>63</v>
      </c>
      <c r="E785" t="s">
        <v>25</v>
      </c>
      <c r="F785" t="s">
        <v>31</v>
      </c>
      <c r="G785" t="s">
        <v>19</v>
      </c>
      <c r="H785">
        <v>1</v>
      </c>
      <c r="I785">
        <v>2100</v>
      </c>
      <c r="J785" s="1">
        <v>44846</v>
      </c>
      <c r="K785" s="1">
        <v>45183</v>
      </c>
      <c r="L785">
        <v>65</v>
      </c>
      <c r="M785">
        <v>261</v>
      </c>
      <c r="N785" t="s">
        <v>20</v>
      </c>
      <c r="O785">
        <v>337</v>
      </c>
    </row>
    <row r="786" spans="1:15" x14ac:dyDescent="0.3">
      <c r="A786">
        <v>785</v>
      </c>
      <c r="B786" t="s">
        <v>820</v>
      </c>
      <c r="C786">
        <v>24</v>
      </c>
      <c r="D786" t="s">
        <v>52</v>
      </c>
      <c r="E786" t="s">
        <v>17</v>
      </c>
      <c r="F786" t="s">
        <v>26</v>
      </c>
      <c r="G786" t="s">
        <v>19</v>
      </c>
      <c r="H786">
        <v>2</v>
      </c>
      <c r="I786">
        <v>2200</v>
      </c>
      <c r="J786" s="1">
        <v>44867</v>
      </c>
      <c r="K786" s="1">
        <v>45310</v>
      </c>
      <c r="L786">
        <v>28</v>
      </c>
      <c r="M786">
        <v>134</v>
      </c>
      <c r="N786" t="s">
        <v>47</v>
      </c>
      <c r="O786">
        <v>443</v>
      </c>
    </row>
    <row r="787" spans="1:15" x14ac:dyDescent="0.3">
      <c r="A787">
        <v>786</v>
      </c>
      <c r="B787" t="s">
        <v>821</v>
      </c>
      <c r="C787">
        <v>29</v>
      </c>
      <c r="D787" t="s">
        <v>22</v>
      </c>
      <c r="E787" t="s">
        <v>30</v>
      </c>
      <c r="F787" t="s">
        <v>23</v>
      </c>
      <c r="G787" t="s">
        <v>33</v>
      </c>
      <c r="H787">
        <v>4</v>
      </c>
      <c r="I787">
        <v>15600</v>
      </c>
      <c r="J787" s="1">
        <v>45146</v>
      </c>
      <c r="K787" s="1">
        <v>45522</v>
      </c>
      <c r="L787">
        <v>568</v>
      </c>
      <c r="M787">
        <v>-78</v>
      </c>
      <c r="N787" t="s">
        <v>47</v>
      </c>
      <c r="O787">
        <v>376</v>
      </c>
    </row>
    <row r="788" spans="1:15" x14ac:dyDescent="0.3">
      <c r="A788">
        <v>787</v>
      </c>
      <c r="B788" t="s">
        <v>822</v>
      </c>
      <c r="C788">
        <v>36</v>
      </c>
      <c r="D788" t="s">
        <v>16</v>
      </c>
      <c r="E788" t="s">
        <v>30</v>
      </c>
      <c r="F788" t="s">
        <v>26</v>
      </c>
      <c r="G788" t="s">
        <v>19</v>
      </c>
      <c r="H788">
        <v>10</v>
      </c>
      <c r="I788">
        <v>40000</v>
      </c>
      <c r="J788" s="1">
        <v>44882</v>
      </c>
      <c r="K788" s="1">
        <v>45050</v>
      </c>
      <c r="L788">
        <v>470</v>
      </c>
      <c r="M788">
        <v>394</v>
      </c>
      <c r="N788" t="s">
        <v>20</v>
      </c>
      <c r="O788">
        <v>168</v>
      </c>
    </row>
    <row r="789" spans="1:15" x14ac:dyDescent="0.3">
      <c r="A789">
        <v>788</v>
      </c>
      <c r="B789" t="s">
        <v>823</v>
      </c>
      <c r="C789">
        <v>30</v>
      </c>
      <c r="D789" t="s">
        <v>22</v>
      </c>
      <c r="E789" t="s">
        <v>25</v>
      </c>
      <c r="F789" t="s">
        <v>26</v>
      </c>
      <c r="G789" t="s">
        <v>19</v>
      </c>
      <c r="H789">
        <v>2</v>
      </c>
      <c r="I789">
        <v>3400</v>
      </c>
      <c r="J789" s="1">
        <v>44781</v>
      </c>
      <c r="K789" s="1">
        <v>45277</v>
      </c>
      <c r="L789">
        <v>54</v>
      </c>
      <c r="M789">
        <v>167</v>
      </c>
      <c r="N789" t="s">
        <v>47</v>
      </c>
      <c r="O789">
        <v>496</v>
      </c>
    </row>
    <row r="790" spans="1:15" x14ac:dyDescent="0.3">
      <c r="A790">
        <v>789</v>
      </c>
      <c r="B790" t="s">
        <v>824</v>
      </c>
      <c r="C790">
        <v>24</v>
      </c>
      <c r="D790" t="s">
        <v>46</v>
      </c>
      <c r="E790" t="s">
        <v>36</v>
      </c>
      <c r="F790" t="s">
        <v>18</v>
      </c>
      <c r="G790" t="s">
        <v>27</v>
      </c>
      <c r="H790">
        <v>8</v>
      </c>
      <c r="I790">
        <v>180000</v>
      </c>
      <c r="J790" s="1">
        <v>44945</v>
      </c>
      <c r="K790" s="1">
        <v>45303</v>
      </c>
      <c r="L790">
        <v>4776</v>
      </c>
      <c r="M790">
        <v>141</v>
      </c>
      <c r="N790" t="s">
        <v>47</v>
      </c>
      <c r="O790">
        <v>358</v>
      </c>
    </row>
    <row r="791" spans="1:15" x14ac:dyDescent="0.3">
      <c r="A791">
        <v>790</v>
      </c>
      <c r="B791" t="s">
        <v>825</v>
      </c>
      <c r="C791">
        <v>38</v>
      </c>
      <c r="D791" t="s">
        <v>29</v>
      </c>
      <c r="E791" t="s">
        <v>36</v>
      </c>
      <c r="F791" t="s">
        <v>26</v>
      </c>
      <c r="G791" t="s">
        <v>19</v>
      </c>
      <c r="H791">
        <v>3</v>
      </c>
      <c r="I791">
        <v>50700</v>
      </c>
      <c r="J791" s="1">
        <v>45048</v>
      </c>
      <c r="K791" s="1">
        <v>45414</v>
      </c>
      <c r="L791">
        <v>99</v>
      </c>
      <c r="M791">
        <v>30</v>
      </c>
      <c r="N791" t="s">
        <v>47</v>
      </c>
      <c r="O791">
        <v>366</v>
      </c>
    </row>
    <row r="792" spans="1:15" x14ac:dyDescent="0.3">
      <c r="A792">
        <v>791</v>
      </c>
      <c r="B792" t="s">
        <v>826</v>
      </c>
      <c r="C792">
        <v>65</v>
      </c>
      <c r="D792" t="s">
        <v>38</v>
      </c>
      <c r="E792" t="s">
        <v>17</v>
      </c>
      <c r="F792" t="s">
        <v>23</v>
      </c>
      <c r="G792" t="s">
        <v>19</v>
      </c>
      <c r="H792">
        <v>4</v>
      </c>
      <c r="I792">
        <v>4000</v>
      </c>
      <c r="J792" s="1">
        <v>45127</v>
      </c>
      <c r="K792" s="1">
        <v>45323</v>
      </c>
      <c r="L792">
        <v>516</v>
      </c>
      <c r="M792">
        <v>121</v>
      </c>
      <c r="N792" t="s">
        <v>47</v>
      </c>
      <c r="O792">
        <v>196</v>
      </c>
    </row>
    <row r="793" spans="1:15" x14ac:dyDescent="0.3">
      <c r="A793">
        <v>792</v>
      </c>
      <c r="B793" t="s">
        <v>827</v>
      </c>
      <c r="C793">
        <v>45</v>
      </c>
      <c r="D793" t="s">
        <v>29</v>
      </c>
      <c r="E793" t="s">
        <v>17</v>
      </c>
      <c r="F793" t="s">
        <v>31</v>
      </c>
      <c r="G793" t="s">
        <v>33</v>
      </c>
      <c r="H793">
        <v>1</v>
      </c>
      <c r="I793">
        <v>1300</v>
      </c>
      <c r="J793" s="1">
        <v>44823</v>
      </c>
      <c r="K793" s="1">
        <v>44977</v>
      </c>
      <c r="L793">
        <v>35</v>
      </c>
      <c r="M793">
        <v>467</v>
      </c>
      <c r="N793" t="s">
        <v>20</v>
      </c>
      <c r="O793">
        <v>154</v>
      </c>
    </row>
    <row r="794" spans="1:15" x14ac:dyDescent="0.3">
      <c r="A794">
        <v>793</v>
      </c>
      <c r="B794" t="s">
        <v>828</v>
      </c>
      <c r="C794">
        <v>49</v>
      </c>
      <c r="D794" t="s">
        <v>40</v>
      </c>
      <c r="E794" t="s">
        <v>30</v>
      </c>
      <c r="F794" t="s">
        <v>31</v>
      </c>
      <c r="G794" t="s">
        <v>19</v>
      </c>
      <c r="H794">
        <v>6</v>
      </c>
      <c r="I794">
        <v>58200</v>
      </c>
      <c r="J794" s="1">
        <v>44978</v>
      </c>
      <c r="K794" s="1">
        <v>45382</v>
      </c>
      <c r="L794">
        <v>192</v>
      </c>
      <c r="M794">
        <v>62</v>
      </c>
      <c r="N794" t="s">
        <v>47</v>
      </c>
      <c r="O794">
        <v>404</v>
      </c>
    </row>
    <row r="795" spans="1:15" x14ac:dyDescent="0.3">
      <c r="A795">
        <v>794</v>
      </c>
      <c r="B795" t="s">
        <v>829</v>
      </c>
      <c r="C795">
        <v>47</v>
      </c>
      <c r="D795" t="s">
        <v>38</v>
      </c>
      <c r="E795" t="s">
        <v>17</v>
      </c>
      <c r="F795" t="s">
        <v>26</v>
      </c>
      <c r="G795" t="s">
        <v>33</v>
      </c>
      <c r="H795">
        <v>6</v>
      </c>
      <c r="I795">
        <v>12000</v>
      </c>
      <c r="J795" s="1">
        <v>44994</v>
      </c>
      <c r="K795" s="1">
        <v>45442</v>
      </c>
      <c r="L795">
        <v>96</v>
      </c>
      <c r="M795">
        <v>2</v>
      </c>
      <c r="N795" t="s">
        <v>47</v>
      </c>
      <c r="O795">
        <v>448</v>
      </c>
    </row>
    <row r="796" spans="1:15" x14ac:dyDescent="0.3">
      <c r="A796">
        <v>795</v>
      </c>
      <c r="B796" t="s">
        <v>830</v>
      </c>
      <c r="C796">
        <v>47</v>
      </c>
      <c r="D796" t="s">
        <v>52</v>
      </c>
      <c r="E796" t="s">
        <v>30</v>
      </c>
      <c r="F796" t="s">
        <v>23</v>
      </c>
      <c r="G796" t="s">
        <v>19</v>
      </c>
      <c r="H796">
        <v>10</v>
      </c>
      <c r="I796">
        <v>90000</v>
      </c>
      <c r="J796" s="1">
        <v>45122</v>
      </c>
      <c r="K796" s="1">
        <v>45499</v>
      </c>
      <c r="L796">
        <v>1300</v>
      </c>
      <c r="M796">
        <v>-55</v>
      </c>
      <c r="N796" t="s">
        <v>47</v>
      </c>
      <c r="O796">
        <v>377</v>
      </c>
    </row>
    <row r="797" spans="1:15" x14ac:dyDescent="0.3">
      <c r="A797">
        <v>796</v>
      </c>
      <c r="B797" t="s">
        <v>831</v>
      </c>
      <c r="C797">
        <v>61</v>
      </c>
      <c r="D797" t="s">
        <v>46</v>
      </c>
      <c r="E797" t="s">
        <v>17</v>
      </c>
      <c r="F797" t="s">
        <v>23</v>
      </c>
      <c r="G797" t="s">
        <v>19</v>
      </c>
      <c r="H797">
        <v>8</v>
      </c>
      <c r="I797">
        <v>14400</v>
      </c>
      <c r="J797" s="1">
        <v>44701</v>
      </c>
      <c r="K797" s="1">
        <v>44702</v>
      </c>
      <c r="L797">
        <v>1080</v>
      </c>
      <c r="M797">
        <v>742</v>
      </c>
      <c r="N797" t="s">
        <v>20</v>
      </c>
      <c r="O797">
        <v>1</v>
      </c>
    </row>
    <row r="798" spans="1:15" x14ac:dyDescent="0.3">
      <c r="A798">
        <v>797</v>
      </c>
      <c r="B798" t="s">
        <v>832</v>
      </c>
      <c r="C798">
        <v>26</v>
      </c>
      <c r="D798" t="s">
        <v>40</v>
      </c>
      <c r="E798" t="s">
        <v>30</v>
      </c>
      <c r="F798" t="s">
        <v>18</v>
      </c>
      <c r="G798" t="s">
        <v>27</v>
      </c>
      <c r="H798">
        <v>2</v>
      </c>
      <c r="I798">
        <v>8600</v>
      </c>
      <c r="J798" s="1">
        <v>44817</v>
      </c>
      <c r="K798" s="1">
        <v>45081</v>
      </c>
      <c r="L798">
        <v>1196</v>
      </c>
      <c r="M798">
        <v>363</v>
      </c>
      <c r="N798" t="s">
        <v>20</v>
      </c>
      <c r="O798">
        <v>264</v>
      </c>
    </row>
    <row r="799" spans="1:15" x14ac:dyDescent="0.3">
      <c r="A799">
        <v>798</v>
      </c>
      <c r="B799" t="s">
        <v>833</v>
      </c>
      <c r="C799">
        <v>29</v>
      </c>
      <c r="D799" t="s">
        <v>22</v>
      </c>
      <c r="E799" t="s">
        <v>30</v>
      </c>
      <c r="F799" t="s">
        <v>26</v>
      </c>
      <c r="G799" t="s">
        <v>33</v>
      </c>
      <c r="H799">
        <v>5</v>
      </c>
      <c r="I799">
        <v>22000</v>
      </c>
      <c r="J799" s="1">
        <v>44897</v>
      </c>
      <c r="K799" s="1">
        <v>45306</v>
      </c>
      <c r="L799">
        <v>140</v>
      </c>
      <c r="M799">
        <v>138</v>
      </c>
      <c r="N799" t="s">
        <v>47</v>
      </c>
      <c r="O799">
        <v>409</v>
      </c>
    </row>
    <row r="800" spans="1:15" x14ac:dyDescent="0.3">
      <c r="A800">
        <v>799</v>
      </c>
      <c r="B800" t="s">
        <v>834</v>
      </c>
      <c r="C800">
        <v>32</v>
      </c>
      <c r="D800" t="s">
        <v>40</v>
      </c>
      <c r="E800" t="s">
        <v>17</v>
      </c>
      <c r="F800" t="s">
        <v>26</v>
      </c>
      <c r="G800" t="s">
        <v>19</v>
      </c>
      <c r="H800">
        <v>7</v>
      </c>
      <c r="I800">
        <v>9100</v>
      </c>
      <c r="J800" s="1">
        <v>45146</v>
      </c>
      <c r="K800" s="1">
        <v>45260</v>
      </c>
      <c r="L800">
        <v>77</v>
      </c>
      <c r="M800">
        <v>184</v>
      </c>
      <c r="N800" t="s">
        <v>20</v>
      </c>
      <c r="O800">
        <v>114</v>
      </c>
    </row>
    <row r="801" spans="1:15" x14ac:dyDescent="0.3">
      <c r="A801">
        <v>800</v>
      </c>
      <c r="B801" t="s">
        <v>835</v>
      </c>
      <c r="C801">
        <v>33</v>
      </c>
      <c r="D801" t="s">
        <v>63</v>
      </c>
      <c r="E801" t="s">
        <v>25</v>
      </c>
      <c r="F801" t="s">
        <v>23</v>
      </c>
      <c r="G801" t="s">
        <v>33</v>
      </c>
      <c r="H801">
        <v>5</v>
      </c>
      <c r="I801">
        <v>19500</v>
      </c>
      <c r="J801" s="1">
        <v>44734</v>
      </c>
      <c r="K801" s="1">
        <v>44759</v>
      </c>
      <c r="L801">
        <v>675</v>
      </c>
      <c r="M801">
        <v>685</v>
      </c>
      <c r="N801" t="s">
        <v>20</v>
      </c>
      <c r="O801">
        <v>25</v>
      </c>
    </row>
    <row r="802" spans="1:15" x14ac:dyDescent="0.3">
      <c r="A802">
        <v>801</v>
      </c>
      <c r="B802" t="s">
        <v>836</v>
      </c>
      <c r="C802">
        <v>44</v>
      </c>
      <c r="D802" t="s">
        <v>22</v>
      </c>
      <c r="E802" t="s">
        <v>30</v>
      </c>
      <c r="F802" t="s">
        <v>31</v>
      </c>
      <c r="G802" t="s">
        <v>19</v>
      </c>
      <c r="H802">
        <v>3</v>
      </c>
      <c r="I802">
        <v>22800</v>
      </c>
      <c r="J802" s="1">
        <v>44682</v>
      </c>
      <c r="K802" s="1">
        <v>44689</v>
      </c>
      <c r="L802">
        <v>189</v>
      </c>
      <c r="M802">
        <v>755</v>
      </c>
      <c r="N802" t="s">
        <v>20</v>
      </c>
      <c r="O802">
        <v>7</v>
      </c>
    </row>
    <row r="803" spans="1:15" x14ac:dyDescent="0.3">
      <c r="A803">
        <v>802</v>
      </c>
      <c r="B803" t="s">
        <v>837</v>
      </c>
      <c r="C803">
        <v>35</v>
      </c>
      <c r="D803" t="s">
        <v>22</v>
      </c>
      <c r="E803" t="s">
        <v>36</v>
      </c>
      <c r="F803" t="s">
        <v>26</v>
      </c>
      <c r="G803" t="s">
        <v>19</v>
      </c>
      <c r="H803">
        <v>4</v>
      </c>
      <c r="I803">
        <v>44800</v>
      </c>
      <c r="J803" s="1">
        <v>44834</v>
      </c>
      <c r="K803" s="1">
        <v>44981</v>
      </c>
      <c r="L803">
        <v>164</v>
      </c>
      <c r="M803">
        <v>463</v>
      </c>
      <c r="N803" t="s">
        <v>20</v>
      </c>
      <c r="O803">
        <v>147</v>
      </c>
    </row>
    <row r="804" spans="1:15" x14ac:dyDescent="0.3">
      <c r="A804">
        <v>803</v>
      </c>
      <c r="B804" t="s">
        <v>838</v>
      </c>
      <c r="C804">
        <v>59</v>
      </c>
      <c r="D804" t="s">
        <v>22</v>
      </c>
      <c r="E804" t="s">
        <v>25</v>
      </c>
      <c r="F804" t="s">
        <v>26</v>
      </c>
      <c r="G804" t="s">
        <v>19</v>
      </c>
      <c r="H804">
        <v>4</v>
      </c>
      <c r="I804">
        <v>17600</v>
      </c>
      <c r="J804" s="1">
        <v>44851</v>
      </c>
      <c r="K804" s="1">
        <v>45223</v>
      </c>
      <c r="L804">
        <v>88</v>
      </c>
      <c r="M804">
        <v>221</v>
      </c>
      <c r="N804" t="s">
        <v>20</v>
      </c>
      <c r="O804">
        <v>372</v>
      </c>
    </row>
    <row r="805" spans="1:15" x14ac:dyDescent="0.3">
      <c r="A805">
        <v>804</v>
      </c>
      <c r="B805" t="s">
        <v>839</v>
      </c>
      <c r="C805">
        <v>22</v>
      </c>
      <c r="D805" t="s">
        <v>22</v>
      </c>
      <c r="E805" t="s">
        <v>25</v>
      </c>
      <c r="F805" t="s">
        <v>26</v>
      </c>
      <c r="G805" t="s">
        <v>19</v>
      </c>
      <c r="H805">
        <v>5</v>
      </c>
      <c r="I805">
        <v>25000</v>
      </c>
      <c r="J805" s="1">
        <v>44830</v>
      </c>
      <c r="K805" s="1">
        <v>44950</v>
      </c>
      <c r="L805">
        <v>245</v>
      </c>
      <c r="M805">
        <v>494</v>
      </c>
      <c r="N805" t="s">
        <v>20</v>
      </c>
      <c r="O805">
        <v>120</v>
      </c>
    </row>
    <row r="806" spans="1:15" x14ac:dyDescent="0.3">
      <c r="A806">
        <v>805</v>
      </c>
      <c r="B806" t="s">
        <v>840</v>
      </c>
      <c r="C806">
        <v>64</v>
      </c>
      <c r="D806" t="s">
        <v>46</v>
      </c>
      <c r="E806" t="s">
        <v>25</v>
      </c>
      <c r="F806" t="s">
        <v>18</v>
      </c>
      <c r="G806" t="s">
        <v>27</v>
      </c>
      <c r="H806">
        <v>8</v>
      </c>
      <c r="I806">
        <v>11200</v>
      </c>
      <c r="J806" s="1">
        <v>44572</v>
      </c>
      <c r="K806" s="1">
        <v>44812</v>
      </c>
      <c r="L806">
        <v>4784</v>
      </c>
      <c r="M806">
        <v>632</v>
      </c>
      <c r="N806" t="s">
        <v>20</v>
      </c>
      <c r="O806">
        <v>240</v>
      </c>
    </row>
    <row r="807" spans="1:15" x14ac:dyDescent="0.3">
      <c r="A807">
        <v>806</v>
      </c>
      <c r="B807" t="s">
        <v>841</v>
      </c>
      <c r="C807">
        <v>48</v>
      </c>
      <c r="D807" t="s">
        <v>29</v>
      </c>
      <c r="E807" t="s">
        <v>36</v>
      </c>
      <c r="F807" t="s">
        <v>31</v>
      </c>
      <c r="G807" t="s">
        <v>33</v>
      </c>
      <c r="H807">
        <v>10</v>
      </c>
      <c r="I807">
        <v>134000</v>
      </c>
      <c r="J807" s="1">
        <v>44636</v>
      </c>
      <c r="K807" s="1">
        <v>44684</v>
      </c>
      <c r="L807">
        <v>650</v>
      </c>
      <c r="M807">
        <v>760</v>
      </c>
      <c r="N807" t="s">
        <v>20</v>
      </c>
      <c r="O807">
        <v>48</v>
      </c>
    </row>
    <row r="808" spans="1:15" x14ac:dyDescent="0.3">
      <c r="A808">
        <v>807</v>
      </c>
      <c r="B808" t="s">
        <v>842</v>
      </c>
      <c r="C808">
        <v>51</v>
      </c>
      <c r="D808" t="s">
        <v>63</v>
      </c>
      <c r="E808" t="s">
        <v>17</v>
      </c>
      <c r="F808" t="s">
        <v>18</v>
      </c>
      <c r="G808" t="s">
        <v>19</v>
      </c>
      <c r="H808">
        <v>6</v>
      </c>
      <c r="I808">
        <v>10200</v>
      </c>
      <c r="J808" s="1">
        <v>44608</v>
      </c>
      <c r="K808" s="1">
        <v>44610</v>
      </c>
      <c r="L808">
        <v>3636</v>
      </c>
      <c r="M808">
        <v>834</v>
      </c>
      <c r="N808" t="s">
        <v>20</v>
      </c>
      <c r="O808">
        <v>2</v>
      </c>
    </row>
    <row r="809" spans="1:15" x14ac:dyDescent="0.3">
      <c r="A809">
        <v>808</v>
      </c>
      <c r="B809" t="s">
        <v>843</v>
      </c>
      <c r="C809">
        <v>29</v>
      </c>
      <c r="D809" t="s">
        <v>22</v>
      </c>
      <c r="E809" t="s">
        <v>30</v>
      </c>
      <c r="F809" t="s">
        <v>26</v>
      </c>
      <c r="G809" t="s">
        <v>19</v>
      </c>
      <c r="H809">
        <v>9</v>
      </c>
      <c r="I809">
        <v>29700</v>
      </c>
      <c r="J809" s="1">
        <v>45156</v>
      </c>
      <c r="K809" s="1">
        <v>45247</v>
      </c>
      <c r="L809">
        <v>234</v>
      </c>
      <c r="M809">
        <v>197</v>
      </c>
      <c r="N809" t="s">
        <v>20</v>
      </c>
      <c r="O809">
        <v>91</v>
      </c>
    </row>
    <row r="810" spans="1:15" x14ac:dyDescent="0.3">
      <c r="A810">
        <v>809</v>
      </c>
      <c r="B810" t="s">
        <v>844</v>
      </c>
      <c r="C810">
        <v>29</v>
      </c>
      <c r="D810" t="s">
        <v>52</v>
      </c>
      <c r="E810" t="s">
        <v>36</v>
      </c>
      <c r="F810" t="s">
        <v>18</v>
      </c>
      <c r="G810" t="s">
        <v>33</v>
      </c>
      <c r="H810">
        <v>2</v>
      </c>
      <c r="I810">
        <v>30800</v>
      </c>
      <c r="J810" s="1">
        <v>45105</v>
      </c>
      <c r="K810" s="1">
        <v>45326</v>
      </c>
      <c r="L810">
        <v>1198</v>
      </c>
      <c r="M810">
        <v>118</v>
      </c>
      <c r="N810" t="s">
        <v>47</v>
      </c>
      <c r="O810">
        <v>221</v>
      </c>
    </row>
    <row r="811" spans="1:15" x14ac:dyDescent="0.3">
      <c r="A811">
        <v>810</v>
      </c>
      <c r="B811" t="s">
        <v>845</v>
      </c>
      <c r="C811">
        <v>29</v>
      </c>
      <c r="D811" t="s">
        <v>38</v>
      </c>
      <c r="E811" t="s">
        <v>17</v>
      </c>
      <c r="F811" t="s">
        <v>18</v>
      </c>
      <c r="G811" t="s">
        <v>19</v>
      </c>
      <c r="H811">
        <v>8</v>
      </c>
      <c r="I811">
        <v>8800</v>
      </c>
      <c r="J811" s="1">
        <v>44931</v>
      </c>
      <c r="K811" s="1">
        <v>45405</v>
      </c>
      <c r="L811">
        <v>4936</v>
      </c>
      <c r="M811">
        <v>39</v>
      </c>
      <c r="N811" t="s">
        <v>47</v>
      </c>
      <c r="O811">
        <v>474</v>
      </c>
    </row>
    <row r="812" spans="1:15" x14ac:dyDescent="0.3">
      <c r="A812">
        <v>811</v>
      </c>
      <c r="B812" t="s">
        <v>846</v>
      </c>
      <c r="C812">
        <v>41</v>
      </c>
      <c r="D812" t="s">
        <v>38</v>
      </c>
      <c r="E812" t="s">
        <v>30</v>
      </c>
      <c r="F812" t="s">
        <v>18</v>
      </c>
      <c r="G812" t="s">
        <v>27</v>
      </c>
      <c r="H812">
        <v>7</v>
      </c>
      <c r="I812">
        <v>30800</v>
      </c>
      <c r="J812" s="1">
        <v>44885</v>
      </c>
      <c r="K812" s="1">
        <v>45262</v>
      </c>
      <c r="L812">
        <v>4347</v>
      </c>
      <c r="M812">
        <v>182</v>
      </c>
      <c r="N812" t="s">
        <v>20</v>
      </c>
      <c r="O812">
        <v>377</v>
      </c>
    </row>
    <row r="813" spans="1:15" x14ac:dyDescent="0.3">
      <c r="A813">
        <v>812</v>
      </c>
      <c r="B813" t="s">
        <v>847</v>
      </c>
      <c r="C813">
        <v>30</v>
      </c>
      <c r="D813" t="s">
        <v>52</v>
      </c>
      <c r="E813" t="s">
        <v>36</v>
      </c>
      <c r="F813" t="s">
        <v>23</v>
      </c>
      <c r="G813" t="s">
        <v>19</v>
      </c>
      <c r="H813">
        <v>1</v>
      </c>
      <c r="I813">
        <v>12500</v>
      </c>
      <c r="J813" s="1">
        <v>44749</v>
      </c>
      <c r="K813" s="1">
        <v>44767</v>
      </c>
      <c r="L813">
        <v>140</v>
      </c>
      <c r="M813">
        <v>677</v>
      </c>
      <c r="N813" t="s">
        <v>20</v>
      </c>
      <c r="O813">
        <v>18</v>
      </c>
    </row>
    <row r="814" spans="1:15" x14ac:dyDescent="0.3">
      <c r="A814">
        <v>813</v>
      </c>
      <c r="B814" t="s">
        <v>848</v>
      </c>
      <c r="C814">
        <v>28</v>
      </c>
      <c r="D814" t="s">
        <v>38</v>
      </c>
      <c r="E814" t="s">
        <v>25</v>
      </c>
      <c r="F814" t="s">
        <v>26</v>
      </c>
      <c r="G814" t="s">
        <v>33</v>
      </c>
      <c r="H814">
        <v>8</v>
      </c>
      <c r="I814">
        <v>9600</v>
      </c>
      <c r="J814" s="1">
        <v>45014</v>
      </c>
      <c r="K814" s="1">
        <v>45196</v>
      </c>
      <c r="L814">
        <v>360</v>
      </c>
      <c r="M814">
        <v>248</v>
      </c>
      <c r="N814" t="s">
        <v>20</v>
      </c>
      <c r="O814">
        <v>182</v>
      </c>
    </row>
    <row r="815" spans="1:15" x14ac:dyDescent="0.3">
      <c r="A815">
        <v>814</v>
      </c>
      <c r="B815" t="s">
        <v>849</v>
      </c>
      <c r="C815">
        <v>30</v>
      </c>
      <c r="D815" t="s">
        <v>46</v>
      </c>
      <c r="E815" t="s">
        <v>36</v>
      </c>
      <c r="F815" t="s">
        <v>26</v>
      </c>
      <c r="G815" t="s">
        <v>19</v>
      </c>
      <c r="H815">
        <v>2</v>
      </c>
      <c r="I815">
        <v>33000</v>
      </c>
      <c r="J815" s="1">
        <v>44657</v>
      </c>
      <c r="K815" s="1">
        <v>44761</v>
      </c>
      <c r="L815">
        <v>56</v>
      </c>
      <c r="M815">
        <v>683</v>
      </c>
      <c r="N815" t="s">
        <v>20</v>
      </c>
      <c r="O815">
        <v>104</v>
      </c>
    </row>
    <row r="816" spans="1:15" x14ac:dyDescent="0.3">
      <c r="A816">
        <v>815</v>
      </c>
      <c r="B816" t="s">
        <v>850</v>
      </c>
      <c r="C816">
        <v>63</v>
      </c>
      <c r="D816" t="s">
        <v>52</v>
      </c>
      <c r="E816" t="s">
        <v>25</v>
      </c>
      <c r="F816" t="s">
        <v>18</v>
      </c>
      <c r="G816" t="s">
        <v>27</v>
      </c>
      <c r="H816">
        <v>10</v>
      </c>
      <c r="I816">
        <v>19000</v>
      </c>
      <c r="J816" s="1">
        <v>45159</v>
      </c>
      <c r="K816" s="1">
        <v>45656</v>
      </c>
      <c r="L816">
        <v>5900</v>
      </c>
      <c r="M816">
        <v>-212</v>
      </c>
      <c r="N816" t="s">
        <v>47</v>
      </c>
      <c r="O816">
        <v>497</v>
      </c>
    </row>
    <row r="817" spans="1:15" x14ac:dyDescent="0.3">
      <c r="A817">
        <v>816</v>
      </c>
      <c r="B817" t="s">
        <v>851</v>
      </c>
      <c r="C817">
        <v>52</v>
      </c>
      <c r="D817" t="s">
        <v>52</v>
      </c>
      <c r="E817" t="s">
        <v>36</v>
      </c>
      <c r="F817" t="s">
        <v>23</v>
      </c>
      <c r="G817" t="s">
        <v>19</v>
      </c>
      <c r="H817">
        <v>2</v>
      </c>
      <c r="I817">
        <v>31600</v>
      </c>
      <c r="J817" s="1">
        <v>44588</v>
      </c>
      <c r="K817" s="1">
        <v>44733</v>
      </c>
      <c r="L817">
        <v>234</v>
      </c>
      <c r="M817">
        <v>711</v>
      </c>
      <c r="N817" t="s">
        <v>20</v>
      </c>
      <c r="O817">
        <v>145</v>
      </c>
    </row>
    <row r="818" spans="1:15" x14ac:dyDescent="0.3">
      <c r="A818">
        <v>817</v>
      </c>
      <c r="B818" t="s">
        <v>852</v>
      </c>
      <c r="C818">
        <v>30</v>
      </c>
      <c r="D818" t="s">
        <v>22</v>
      </c>
      <c r="E818" t="s">
        <v>30</v>
      </c>
      <c r="F818" t="s">
        <v>23</v>
      </c>
      <c r="G818" t="s">
        <v>19</v>
      </c>
      <c r="H818">
        <v>1</v>
      </c>
      <c r="I818">
        <v>3700</v>
      </c>
      <c r="J818" s="1">
        <v>45033</v>
      </c>
      <c r="K818" s="1">
        <v>45458</v>
      </c>
      <c r="L818">
        <v>140</v>
      </c>
      <c r="M818">
        <v>-14</v>
      </c>
      <c r="N818" t="s">
        <v>47</v>
      </c>
      <c r="O818">
        <v>425</v>
      </c>
    </row>
    <row r="819" spans="1:15" x14ac:dyDescent="0.3">
      <c r="A819">
        <v>818</v>
      </c>
      <c r="B819" t="s">
        <v>853</v>
      </c>
      <c r="C819">
        <v>23</v>
      </c>
      <c r="D819" t="s">
        <v>46</v>
      </c>
      <c r="E819" t="s">
        <v>30</v>
      </c>
      <c r="F819" t="s">
        <v>23</v>
      </c>
      <c r="G819" t="s">
        <v>19</v>
      </c>
      <c r="H819">
        <v>10</v>
      </c>
      <c r="I819">
        <v>67000</v>
      </c>
      <c r="J819" s="1">
        <v>44894</v>
      </c>
      <c r="K819" s="1">
        <v>45379</v>
      </c>
      <c r="L819">
        <v>1460</v>
      </c>
      <c r="M819">
        <v>65</v>
      </c>
      <c r="N819" t="s">
        <v>47</v>
      </c>
      <c r="O819">
        <v>485</v>
      </c>
    </row>
    <row r="820" spans="1:15" x14ac:dyDescent="0.3">
      <c r="A820">
        <v>819</v>
      </c>
      <c r="B820" t="s">
        <v>854</v>
      </c>
      <c r="C820">
        <v>41</v>
      </c>
      <c r="D820" t="s">
        <v>52</v>
      </c>
      <c r="E820" t="s">
        <v>25</v>
      </c>
      <c r="F820" t="s">
        <v>23</v>
      </c>
      <c r="G820" t="s">
        <v>19</v>
      </c>
      <c r="H820">
        <v>1</v>
      </c>
      <c r="I820">
        <v>4000</v>
      </c>
      <c r="J820" s="1">
        <v>44634</v>
      </c>
      <c r="K820" s="1">
        <v>44914</v>
      </c>
      <c r="L820">
        <v>148</v>
      </c>
      <c r="M820">
        <v>530</v>
      </c>
      <c r="N820" t="s">
        <v>20</v>
      </c>
      <c r="O820">
        <v>280</v>
      </c>
    </row>
    <row r="821" spans="1:15" x14ac:dyDescent="0.3">
      <c r="A821">
        <v>820</v>
      </c>
      <c r="B821" t="s">
        <v>855</v>
      </c>
      <c r="C821">
        <v>32</v>
      </c>
      <c r="D821" t="s">
        <v>22</v>
      </c>
      <c r="E821" t="s">
        <v>17</v>
      </c>
      <c r="F821" t="s">
        <v>26</v>
      </c>
      <c r="G821" t="s">
        <v>19</v>
      </c>
      <c r="H821">
        <v>4</v>
      </c>
      <c r="I821">
        <v>5200</v>
      </c>
      <c r="J821" s="1">
        <v>44653</v>
      </c>
      <c r="K821" s="1">
        <v>44663</v>
      </c>
      <c r="L821">
        <v>92</v>
      </c>
      <c r="M821">
        <v>781</v>
      </c>
      <c r="N821" t="s">
        <v>20</v>
      </c>
      <c r="O821">
        <v>10</v>
      </c>
    </row>
    <row r="822" spans="1:15" x14ac:dyDescent="0.3">
      <c r="A822">
        <v>821</v>
      </c>
      <c r="B822" t="s">
        <v>856</v>
      </c>
      <c r="C822">
        <v>62</v>
      </c>
      <c r="D822" t="s">
        <v>52</v>
      </c>
      <c r="E822" t="s">
        <v>36</v>
      </c>
      <c r="F822" t="s">
        <v>26</v>
      </c>
      <c r="G822" t="s">
        <v>19</v>
      </c>
      <c r="H822">
        <v>3</v>
      </c>
      <c r="I822">
        <v>27000</v>
      </c>
      <c r="J822" s="1">
        <v>44867</v>
      </c>
      <c r="K822" s="1">
        <v>45118</v>
      </c>
      <c r="L822">
        <v>111</v>
      </c>
      <c r="M822">
        <v>326</v>
      </c>
      <c r="N822" t="s">
        <v>20</v>
      </c>
      <c r="O822">
        <v>251</v>
      </c>
    </row>
    <row r="823" spans="1:15" x14ac:dyDescent="0.3">
      <c r="A823">
        <v>822</v>
      </c>
      <c r="B823" t="s">
        <v>857</v>
      </c>
      <c r="C823">
        <v>44</v>
      </c>
      <c r="D823" t="s">
        <v>38</v>
      </c>
      <c r="E823" t="s">
        <v>25</v>
      </c>
      <c r="F823" t="s">
        <v>18</v>
      </c>
      <c r="G823" t="s">
        <v>19</v>
      </c>
      <c r="H823">
        <v>9</v>
      </c>
      <c r="I823">
        <v>16200</v>
      </c>
      <c r="J823" s="1">
        <v>45063</v>
      </c>
      <c r="K823" s="1">
        <v>45291</v>
      </c>
      <c r="L823">
        <v>5526</v>
      </c>
      <c r="M823">
        <v>153</v>
      </c>
      <c r="N823" t="s">
        <v>47</v>
      </c>
      <c r="O823">
        <v>228</v>
      </c>
    </row>
    <row r="824" spans="1:15" x14ac:dyDescent="0.3">
      <c r="A824">
        <v>823</v>
      </c>
      <c r="B824" t="s">
        <v>858</v>
      </c>
      <c r="C824">
        <v>48</v>
      </c>
      <c r="D824" t="s">
        <v>46</v>
      </c>
      <c r="E824" t="s">
        <v>30</v>
      </c>
      <c r="F824" t="s">
        <v>26</v>
      </c>
      <c r="G824" t="s">
        <v>19</v>
      </c>
      <c r="H824">
        <v>6</v>
      </c>
      <c r="I824">
        <v>48000</v>
      </c>
      <c r="J824" s="1">
        <v>44752</v>
      </c>
      <c r="K824" s="1">
        <v>44974</v>
      </c>
      <c r="L824">
        <v>300</v>
      </c>
      <c r="M824">
        <v>470</v>
      </c>
      <c r="N824" t="s">
        <v>20</v>
      </c>
      <c r="O824">
        <v>222</v>
      </c>
    </row>
    <row r="825" spans="1:15" x14ac:dyDescent="0.3">
      <c r="A825">
        <v>824</v>
      </c>
      <c r="B825" t="s">
        <v>859</v>
      </c>
      <c r="C825">
        <v>42</v>
      </c>
      <c r="D825" t="s">
        <v>22</v>
      </c>
      <c r="E825" t="s">
        <v>17</v>
      </c>
      <c r="F825" t="s">
        <v>23</v>
      </c>
      <c r="G825" t="s">
        <v>27</v>
      </c>
      <c r="H825">
        <v>8</v>
      </c>
      <c r="I825">
        <v>15200</v>
      </c>
      <c r="J825" s="1">
        <v>44791</v>
      </c>
      <c r="K825" s="1">
        <v>45122</v>
      </c>
      <c r="L825">
        <v>952</v>
      </c>
      <c r="M825">
        <v>322</v>
      </c>
      <c r="N825" t="s">
        <v>20</v>
      </c>
      <c r="O825">
        <v>331</v>
      </c>
    </row>
    <row r="826" spans="1:15" x14ac:dyDescent="0.3">
      <c r="A826">
        <v>825</v>
      </c>
      <c r="B826" t="s">
        <v>860</v>
      </c>
      <c r="C826">
        <v>48</v>
      </c>
      <c r="D826" t="s">
        <v>46</v>
      </c>
      <c r="E826" t="s">
        <v>17</v>
      </c>
      <c r="F826" t="s">
        <v>18</v>
      </c>
      <c r="G826" t="s">
        <v>33</v>
      </c>
      <c r="H826">
        <v>2</v>
      </c>
      <c r="I826">
        <v>3000</v>
      </c>
      <c r="J826" s="1">
        <v>44869</v>
      </c>
      <c r="K826" s="1">
        <v>44945</v>
      </c>
      <c r="L826">
        <v>1196</v>
      </c>
      <c r="M826">
        <v>499</v>
      </c>
      <c r="N826" t="s">
        <v>20</v>
      </c>
      <c r="O826">
        <v>76</v>
      </c>
    </row>
    <row r="827" spans="1:15" x14ac:dyDescent="0.3">
      <c r="A827">
        <v>826</v>
      </c>
      <c r="B827" t="s">
        <v>861</v>
      </c>
      <c r="C827">
        <v>57</v>
      </c>
      <c r="D827" t="s">
        <v>38</v>
      </c>
      <c r="E827" t="s">
        <v>25</v>
      </c>
      <c r="F827" t="s">
        <v>26</v>
      </c>
      <c r="G827" t="s">
        <v>19</v>
      </c>
      <c r="H827">
        <v>1</v>
      </c>
      <c r="I827">
        <v>3300</v>
      </c>
      <c r="J827" s="1">
        <v>44640</v>
      </c>
      <c r="K827" s="1">
        <v>45109</v>
      </c>
      <c r="L827">
        <v>12</v>
      </c>
      <c r="M827">
        <v>335</v>
      </c>
      <c r="N827" t="s">
        <v>20</v>
      </c>
      <c r="O827">
        <v>469</v>
      </c>
    </row>
    <row r="828" spans="1:15" x14ac:dyDescent="0.3">
      <c r="A828">
        <v>827</v>
      </c>
      <c r="B828" t="s">
        <v>862</v>
      </c>
      <c r="C828">
        <v>50</v>
      </c>
      <c r="D828" t="s">
        <v>16</v>
      </c>
      <c r="E828" t="s">
        <v>36</v>
      </c>
      <c r="F828" t="s">
        <v>26</v>
      </c>
      <c r="G828" t="s">
        <v>19</v>
      </c>
      <c r="H828">
        <v>10</v>
      </c>
      <c r="I828">
        <v>133000</v>
      </c>
      <c r="J828" s="1">
        <v>44925</v>
      </c>
      <c r="K828" s="1">
        <v>45055</v>
      </c>
      <c r="L828">
        <v>470</v>
      </c>
      <c r="M828">
        <v>389</v>
      </c>
      <c r="N828" t="s">
        <v>20</v>
      </c>
      <c r="O828">
        <v>130</v>
      </c>
    </row>
    <row r="829" spans="1:15" x14ac:dyDescent="0.3">
      <c r="A829">
        <v>828</v>
      </c>
      <c r="B829" t="s">
        <v>863</v>
      </c>
      <c r="C829">
        <v>32</v>
      </c>
      <c r="D829" t="s">
        <v>16</v>
      </c>
      <c r="E829" t="s">
        <v>17</v>
      </c>
      <c r="F829" t="s">
        <v>23</v>
      </c>
      <c r="G829" t="s">
        <v>33</v>
      </c>
      <c r="H829">
        <v>3</v>
      </c>
      <c r="I829">
        <v>3900</v>
      </c>
      <c r="J829" s="1">
        <v>44608</v>
      </c>
      <c r="K829" s="1">
        <v>44650</v>
      </c>
      <c r="L829">
        <v>408</v>
      </c>
      <c r="M829">
        <v>794</v>
      </c>
      <c r="N829" t="s">
        <v>20</v>
      </c>
      <c r="O829">
        <v>42</v>
      </c>
    </row>
    <row r="830" spans="1:15" x14ac:dyDescent="0.3">
      <c r="A830">
        <v>829</v>
      </c>
      <c r="B830" t="s">
        <v>864</v>
      </c>
      <c r="C830">
        <v>60</v>
      </c>
      <c r="D830" t="s">
        <v>38</v>
      </c>
      <c r="E830" t="s">
        <v>30</v>
      </c>
      <c r="F830" t="s">
        <v>26</v>
      </c>
      <c r="G830" t="s">
        <v>33</v>
      </c>
      <c r="H830">
        <v>5</v>
      </c>
      <c r="I830">
        <v>29000</v>
      </c>
      <c r="J830" s="1">
        <v>44753</v>
      </c>
      <c r="K830" s="1">
        <v>44861</v>
      </c>
      <c r="L830">
        <v>105</v>
      </c>
      <c r="M830">
        <v>583</v>
      </c>
      <c r="N830" t="s">
        <v>20</v>
      </c>
      <c r="O830">
        <v>108</v>
      </c>
    </row>
    <row r="831" spans="1:15" x14ac:dyDescent="0.3">
      <c r="A831">
        <v>830</v>
      </c>
      <c r="B831" t="s">
        <v>865</v>
      </c>
      <c r="C831">
        <v>55</v>
      </c>
      <c r="D831" t="s">
        <v>16</v>
      </c>
      <c r="E831" t="s">
        <v>30</v>
      </c>
      <c r="F831" t="s">
        <v>23</v>
      </c>
      <c r="G831" t="s">
        <v>33</v>
      </c>
      <c r="H831">
        <v>1</v>
      </c>
      <c r="I831">
        <v>3000</v>
      </c>
      <c r="J831" s="1">
        <v>44966</v>
      </c>
      <c r="K831" s="1">
        <v>45025</v>
      </c>
      <c r="L831">
        <v>110</v>
      </c>
      <c r="M831">
        <v>419</v>
      </c>
      <c r="N831" t="s">
        <v>20</v>
      </c>
      <c r="O831">
        <v>59</v>
      </c>
    </row>
    <row r="832" spans="1:15" x14ac:dyDescent="0.3">
      <c r="A832">
        <v>831</v>
      </c>
      <c r="B832" t="s">
        <v>866</v>
      </c>
      <c r="C832">
        <v>63</v>
      </c>
      <c r="D832" t="s">
        <v>52</v>
      </c>
      <c r="E832" t="s">
        <v>36</v>
      </c>
      <c r="F832" t="s">
        <v>26</v>
      </c>
      <c r="G832" t="s">
        <v>33</v>
      </c>
      <c r="H832">
        <v>10</v>
      </c>
      <c r="I832">
        <v>209000</v>
      </c>
      <c r="J832" s="1">
        <v>44872</v>
      </c>
      <c r="K832" s="1">
        <v>45188</v>
      </c>
      <c r="L832">
        <v>490</v>
      </c>
      <c r="M832">
        <v>256</v>
      </c>
      <c r="N832" t="s">
        <v>20</v>
      </c>
      <c r="O832">
        <v>316</v>
      </c>
    </row>
    <row r="833" spans="1:15" x14ac:dyDescent="0.3">
      <c r="A833">
        <v>832</v>
      </c>
      <c r="B833" t="s">
        <v>867</v>
      </c>
      <c r="C833">
        <v>29</v>
      </c>
      <c r="D833" t="s">
        <v>29</v>
      </c>
      <c r="E833" t="s">
        <v>36</v>
      </c>
      <c r="F833" t="s">
        <v>18</v>
      </c>
      <c r="G833" t="s">
        <v>19</v>
      </c>
      <c r="H833">
        <v>3</v>
      </c>
      <c r="I833">
        <v>16500</v>
      </c>
      <c r="J833" s="1">
        <v>44757</v>
      </c>
      <c r="K833" s="1">
        <v>44814</v>
      </c>
      <c r="L833">
        <v>1773</v>
      </c>
      <c r="M833">
        <v>630</v>
      </c>
      <c r="N833" t="s">
        <v>20</v>
      </c>
      <c r="O833">
        <v>57</v>
      </c>
    </row>
    <row r="834" spans="1:15" x14ac:dyDescent="0.3">
      <c r="A834">
        <v>833</v>
      </c>
      <c r="B834" t="s">
        <v>868</v>
      </c>
      <c r="C834">
        <v>62</v>
      </c>
      <c r="D834" t="s">
        <v>40</v>
      </c>
      <c r="E834" t="s">
        <v>17</v>
      </c>
      <c r="F834" t="s">
        <v>31</v>
      </c>
      <c r="G834" t="s">
        <v>33</v>
      </c>
      <c r="H834">
        <v>3</v>
      </c>
      <c r="I834">
        <v>5400</v>
      </c>
      <c r="J834" s="1">
        <v>44809</v>
      </c>
      <c r="K834" s="1">
        <v>45032</v>
      </c>
      <c r="L834">
        <v>210</v>
      </c>
      <c r="M834">
        <v>412</v>
      </c>
      <c r="N834" t="s">
        <v>20</v>
      </c>
      <c r="O834">
        <v>223</v>
      </c>
    </row>
    <row r="835" spans="1:15" x14ac:dyDescent="0.3">
      <c r="A835">
        <v>834</v>
      </c>
      <c r="B835" t="s">
        <v>869</v>
      </c>
      <c r="C835">
        <v>30</v>
      </c>
      <c r="D835" t="s">
        <v>40</v>
      </c>
      <c r="E835" t="s">
        <v>17</v>
      </c>
      <c r="F835" t="s">
        <v>18</v>
      </c>
      <c r="G835" t="s">
        <v>33</v>
      </c>
      <c r="H835">
        <v>8</v>
      </c>
      <c r="I835">
        <v>11200</v>
      </c>
      <c r="J835" s="1">
        <v>44584</v>
      </c>
      <c r="K835" s="1">
        <v>44643</v>
      </c>
      <c r="L835">
        <v>4800</v>
      </c>
      <c r="M835">
        <v>801</v>
      </c>
      <c r="N835" t="s">
        <v>20</v>
      </c>
      <c r="O835">
        <v>59</v>
      </c>
    </row>
    <row r="836" spans="1:15" x14ac:dyDescent="0.3">
      <c r="A836">
        <v>835</v>
      </c>
      <c r="B836" t="s">
        <v>870</v>
      </c>
      <c r="C836">
        <v>22</v>
      </c>
      <c r="D836" t="s">
        <v>52</v>
      </c>
      <c r="E836" t="s">
        <v>36</v>
      </c>
      <c r="F836" t="s">
        <v>26</v>
      </c>
      <c r="G836" t="s">
        <v>33</v>
      </c>
      <c r="H836">
        <v>8</v>
      </c>
      <c r="I836">
        <v>193600</v>
      </c>
      <c r="J836" s="1">
        <v>44810</v>
      </c>
      <c r="K836" s="1">
        <v>44913</v>
      </c>
      <c r="L836">
        <v>224</v>
      </c>
      <c r="M836">
        <v>531</v>
      </c>
      <c r="N836" t="s">
        <v>20</v>
      </c>
      <c r="O836">
        <v>103</v>
      </c>
    </row>
    <row r="837" spans="1:15" x14ac:dyDescent="0.3">
      <c r="A837">
        <v>836</v>
      </c>
      <c r="B837" t="s">
        <v>871</v>
      </c>
      <c r="C837">
        <v>27</v>
      </c>
      <c r="D837" t="s">
        <v>22</v>
      </c>
      <c r="E837" t="s">
        <v>17</v>
      </c>
      <c r="F837" t="s">
        <v>18</v>
      </c>
      <c r="G837" t="s">
        <v>19</v>
      </c>
      <c r="H837">
        <v>7</v>
      </c>
      <c r="I837">
        <v>9800</v>
      </c>
      <c r="J837" s="1">
        <v>45069</v>
      </c>
      <c r="K837" s="1">
        <v>45446</v>
      </c>
      <c r="L837">
        <v>4389</v>
      </c>
      <c r="M837">
        <v>-2</v>
      </c>
      <c r="N837" t="s">
        <v>47</v>
      </c>
      <c r="O837">
        <v>377</v>
      </c>
    </row>
    <row r="838" spans="1:15" x14ac:dyDescent="0.3">
      <c r="A838">
        <v>837</v>
      </c>
      <c r="B838" t="s">
        <v>872</v>
      </c>
      <c r="C838">
        <v>52</v>
      </c>
      <c r="D838" t="s">
        <v>38</v>
      </c>
      <c r="E838" t="s">
        <v>17</v>
      </c>
      <c r="F838" t="s">
        <v>26</v>
      </c>
      <c r="G838" t="s">
        <v>33</v>
      </c>
      <c r="H838">
        <v>9</v>
      </c>
      <c r="I838">
        <v>15300</v>
      </c>
      <c r="J838" s="1">
        <v>45061</v>
      </c>
      <c r="K838" s="1">
        <v>45179</v>
      </c>
      <c r="L838">
        <v>117</v>
      </c>
      <c r="M838">
        <v>265</v>
      </c>
      <c r="N838" t="s">
        <v>20</v>
      </c>
      <c r="O838">
        <v>118</v>
      </c>
    </row>
    <row r="839" spans="1:15" x14ac:dyDescent="0.3">
      <c r="A839">
        <v>838</v>
      </c>
      <c r="B839" t="s">
        <v>873</v>
      </c>
      <c r="C839">
        <v>25</v>
      </c>
      <c r="D839" t="s">
        <v>63</v>
      </c>
      <c r="E839" t="s">
        <v>36</v>
      </c>
      <c r="F839" t="s">
        <v>18</v>
      </c>
      <c r="G839" t="s">
        <v>27</v>
      </c>
      <c r="H839">
        <v>5</v>
      </c>
      <c r="I839">
        <v>93500</v>
      </c>
      <c r="J839" s="1">
        <v>45046</v>
      </c>
      <c r="K839" s="1">
        <v>45105</v>
      </c>
      <c r="L839">
        <v>3105</v>
      </c>
      <c r="M839">
        <v>339</v>
      </c>
      <c r="N839" t="s">
        <v>20</v>
      </c>
      <c r="O839">
        <v>59</v>
      </c>
    </row>
    <row r="840" spans="1:15" x14ac:dyDescent="0.3">
      <c r="A840">
        <v>839</v>
      </c>
      <c r="B840" t="s">
        <v>874</v>
      </c>
      <c r="C840">
        <v>31</v>
      </c>
      <c r="D840" t="s">
        <v>29</v>
      </c>
      <c r="E840" t="s">
        <v>36</v>
      </c>
      <c r="F840" t="s">
        <v>26</v>
      </c>
      <c r="G840" t="s">
        <v>19</v>
      </c>
      <c r="H840">
        <v>5</v>
      </c>
      <c r="I840">
        <v>56500</v>
      </c>
      <c r="J840" s="1">
        <v>45042</v>
      </c>
      <c r="K840" s="1">
        <v>45218</v>
      </c>
      <c r="L840">
        <v>190</v>
      </c>
      <c r="M840">
        <v>226</v>
      </c>
      <c r="N840" t="s">
        <v>20</v>
      </c>
      <c r="O840">
        <v>176</v>
      </c>
    </row>
    <row r="841" spans="1:15" x14ac:dyDescent="0.3">
      <c r="A841">
        <v>840</v>
      </c>
      <c r="B841" t="s">
        <v>875</v>
      </c>
      <c r="C841">
        <v>63</v>
      </c>
      <c r="D841" t="s">
        <v>40</v>
      </c>
      <c r="E841" t="s">
        <v>25</v>
      </c>
      <c r="F841" t="s">
        <v>18</v>
      </c>
      <c r="G841" t="s">
        <v>27</v>
      </c>
      <c r="H841">
        <v>8</v>
      </c>
      <c r="I841">
        <v>12000</v>
      </c>
      <c r="J841" s="1">
        <v>44862</v>
      </c>
      <c r="K841" s="1">
        <v>45232</v>
      </c>
      <c r="L841">
        <v>4912</v>
      </c>
      <c r="M841">
        <v>212</v>
      </c>
      <c r="N841" t="s">
        <v>20</v>
      </c>
      <c r="O841">
        <v>370</v>
      </c>
    </row>
    <row r="842" spans="1:15" x14ac:dyDescent="0.3">
      <c r="A842">
        <v>841</v>
      </c>
      <c r="B842" t="s">
        <v>876</v>
      </c>
      <c r="C842">
        <v>60</v>
      </c>
      <c r="D842" t="s">
        <v>22</v>
      </c>
      <c r="E842" t="s">
        <v>30</v>
      </c>
      <c r="F842" t="s">
        <v>26</v>
      </c>
      <c r="G842" t="s">
        <v>19</v>
      </c>
      <c r="H842">
        <v>4</v>
      </c>
      <c r="I842">
        <v>21200</v>
      </c>
      <c r="J842" s="1">
        <v>44650</v>
      </c>
      <c r="K842" s="1">
        <v>44991</v>
      </c>
      <c r="L842">
        <v>160</v>
      </c>
      <c r="M842">
        <v>453</v>
      </c>
      <c r="N842" t="s">
        <v>20</v>
      </c>
      <c r="O842">
        <v>341</v>
      </c>
    </row>
    <row r="843" spans="1:15" x14ac:dyDescent="0.3">
      <c r="A843">
        <v>842</v>
      </c>
      <c r="B843" t="s">
        <v>877</v>
      </c>
      <c r="C843">
        <v>59</v>
      </c>
      <c r="D843" t="s">
        <v>52</v>
      </c>
      <c r="E843" t="s">
        <v>25</v>
      </c>
      <c r="F843" t="s">
        <v>31</v>
      </c>
      <c r="G843" t="s">
        <v>19</v>
      </c>
      <c r="H843">
        <v>8</v>
      </c>
      <c r="I843">
        <v>11200</v>
      </c>
      <c r="J843" s="1">
        <v>44987</v>
      </c>
      <c r="K843" s="1">
        <v>45469</v>
      </c>
      <c r="L843">
        <v>488</v>
      </c>
      <c r="M843">
        <v>-25</v>
      </c>
      <c r="N843" t="s">
        <v>47</v>
      </c>
      <c r="O843">
        <v>482</v>
      </c>
    </row>
    <row r="844" spans="1:15" x14ac:dyDescent="0.3">
      <c r="A844">
        <v>843</v>
      </c>
      <c r="B844" t="s">
        <v>878</v>
      </c>
      <c r="C844">
        <v>24</v>
      </c>
      <c r="D844" t="s">
        <v>38</v>
      </c>
      <c r="E844" t="s">
        <v>25</v>
      </c>
      <c r="F844" t="s">
        <v>31</v>
      </c>
      <c r="G844" t="s">
        <v>27</v>
      </c>
      <c r="H844">
        <v>1</v>
      </c>
      <c r="I844">
        <v>2500</v>
      </c>
      <c r="J844" s="1">
        <v>44829</v>
      </c>
      <c r="K844" s="1">
        <v>45011</v>
      </c>
      <c r="L844">
        <v>40</v>
      </c>
      <c r="M844">
        <v>433</v>
      </c>
      <c r="N844" t="s">
        <v>20</v>
      </c>
      <c r="O844">
        <v>182</v>
      </c>
    </row>
    <row r="845" spans="1:15" x14ac:dyDescent="0.3">
      <c r="A845">
        <v>844</v>
      </c>
      <c r="B845" t="s">
        <v>879</v>
      </c>
      <c r="C845">
        <v>48</v>
      </c>
      <c r="D845" t="s">
        <v>52</v>
      </c>
      <c r="E845" t="s">
        <v>17</v>
      </c>
      <c r="F845" t="s">
        <v>23</v>
      </c>
      <c r="G845" t="s">
        <v>19</v>
      </c>
      <c r="H845">
        <v>2</v>
      </c>
      <c r="I845">
        <v>3600</v>
      </c>
      <c r="J845" s="1">
        <v>44794</v>
      </c>
      <c r="K845" s="1">
        <v>44855</v>
      </c>
      <c r="L845">
        <v>290</v>
      </c>
      <c r="M845">
        <v>589</v>
      </c>
      <c r="N845" t="s">
        <v>20</v>
      </c>
      <c r="O845">
        <v>61</v>
      </c>
    </row>
    <row r="846" spans="1:15" x14ac:dyDescent="0.3">
      <c r="A846">
        <v>845</v>
      </c>
      <c r="B846" t="s">
        <v>880</v>
      </c>
      <c r="C846">
        <v>43</v>
      </c>
      <c r="D846" t="s">
        <v>40</v>
      </c>
      <c r="E846" t="s">
        <v>36</v>
      </c>
      <c r="F846" t="s">
        <v>18</v>
      </c>
      <c r="G846" t="s">
        <v>19</v>
      </c>
      <c r="H846">
        <v>1</v>
      </c>
      <c r="I846">
        <v>23300</v>
      </c>
      <c r="J846" s="1">
        <v>44835</v>
      </c>
      <c r="K846" s="1">
        <v>45293</v>
      </c>
      <c r="L846">
        <v>599</v>
      </c>
      <c r="M846">
        <v>151</v>
      </c>
      <c r="N846" t="s">
        <v>47</v>
      </c>
      <c r="O846">
        <v>458</v>
      </c>
    </row>
    <row r="847" spans="1:15" x14ac:dyDescent="0.3">
      <c r="A847">
        <v>846</v>
      </c>
      <c r="B847" t="s">
        <v>881</v>
      </c>
      <c r="C847">
        <v>28</v>
      </c>
      <c r="D847" t="s">
        <v>16</v>
      </c>
      <c r="E847" t="s">
        <v>17</v>
      </c>
      <c r="F847" t="s">
        <v>26</v>
      </c>
      <c r="G847" t="s">
        <v>33</v>
      </c>
      <c r="H847">
        <v>2</v>
      </c>
      <c r="I847">
        <v>3600</v>
      </c>
      <c r="J847" s="1">
        <v>44666</v>
      </c>
      <c r="K847" s="1">
        <v>45087</v>
      </c>
      <c r="L847">
        <v>90</v>
      </c>
      <c r="M847">
        <v>357</v>
      </c>
      <c r="N847" t="s">
        <v>20</v>
      </c>
      <c r="O847">
        <v>421</v>
      </c>
    </row>
    <row r="848" spans="1:15" x14ac:dyDescent="0.3">
      <c r="A848">
        <v>847</v>
      </c>
      <c r="B848" t="s">
        <v>882</v>
      </c>
      <c r="C848">
        <v>34</v>
      </c>
      <c r="D848" t="s">
        <v>63</v>
      </c>
      <c r="E848" t="s">
        <v>17</v>
      </c>
      <c r="F848" t="s">
        <v>31</v>
      </c>
      <c r="G848" t="s">
        <v>19</v>
      </c>
      <c r="H848">
        <v>6</v>
      </c>
      <c r="I848">
        <v>4800</v>
      </c>
      <c r="J848" s="1">
        <v>44861</v>
      </c>
      <c r="K848" s="1">
        <v>45223</v>
      </c>
      <c r="L848">
        <v>348</v>
      </c>
      <c r="M848">
        <v>221</v>
      </c>
      <c r="N848" t="s">
        <v>20</v>
      </c>
      <c r="O848">
        <v>362</v>
      </c>
    </row>
    <row r="849" spans="1:15" x14ac:dyDescent="0.3">
      <c r="A849">
        <v>848</v>
      </c>
      <c r="B849" t="s">
        <v>883</v>
      </c>
      <c r="C849">
        <v>42</v>
      </c>
      <c r="D849" t="s">
        <v>46</v>
      </c>
      <c r="E849" t="s">
        <v>17</v>
      </c>
      <c r="F849" t="s">
        <v>31</v>
      </c>
      <c r="G849" t="s">
        <v>19</v>
      </c>
      <c r="H849">
        <v>3</v>
      </c>
      <c r="I849">
        <v>2400</v>
      </c>
      <c r="J849" s="1">
        <v>44768</v>
      </c>
      <c r="K849" s="1">
        <v>44992</v>
      </c>
      <c r="L849">
        <v>168</v>
      </c>
      <c r="M849">
        <v>452</v>
      </c>
      <c r="N849" t="s">
        <v>20</v>
      </c>
      <c r="O849">
        <v>224</v>
      </c>
    </row>
    <row r="850" spans="1:15" x14ac:dyDescent="0.3">
      <c r="A850">
        <v>849</v>
      </c>
      <c r="B850" t="s">
        <v>884</v>
      </c>
      <c r="C850">
        <v>39</v>
      </c>
      <c r="D850" t="s">
        <v>63</v>
      </c>
      <c r="E850" t="s">
        <v>25</v>
      </c>
      <c r="F850" t="s">
        <v>26</v>
      </c>
      <c r="G850" t="s">
        <v>19</v>
      </c>
      <c r="H850">
        <v>9</v>
      </c>
      <c r="I850">
        <v>15300</v>
      </c>
      <c r="J850" s="1">
        <v>44649</v>
      </c>
      <c r="K850" s="1">
        <v>44785</v>
      </c>
      <c r="L850">
        <v>297</v>
      </c>
      <c r="M850">
        <v>659</v>
      </c>
      <c r="N850" t="s">
        <v>20</v>
      </c>
      <c r="O850">
        <v>136</v>
      </c>
    </row>
    <row r="851" spans="1:15" x14ac:dyDescent="0.3">
      <c r="A851">
        <v>850</v>
      </c>
      <c r="B851" t="s">
        <v>885</v>
      </c>
      <c r="C851">
        <v>54</v>
      </c>
      <c r="D851" t="s">
        <v>22</v>
      </c>
      <c r="E851" t="s">
        <v>30</v>
      </c>
      <c r="F851" t="s">
        <v>31</v>
      </c>
      <c r="G851" t="s">
        <v>19</v>
      </c>
      <c r="H851">
        <v>7</v>
      </c>
      <c r="I851">
        <v>65800</v>
      </c>
      <c r="J851" s="1">
        <v>44795</v>
      </c>
      <c r="K851" s="1">
        <v>44865</v>
      </c>
      <c r="L851">
        <v>399</v>
      </c>
      <c r="M851">
        <v>579</v>
      </c>
      <c r="N851" t="s">
        <v>20</v>
      </c>
      <c r="O851">
        <v>70</v>
      </c>
    </row>
    <row r="852" spans="1:15" x14ac:dyDescent="0.3">
      <c r="A852">
        <v>851</v>
      </c>
      <c r="B852" t="s">
        <v>886</v>
      </c>
      <c r="C852">
        <v>64</v>
      </c>
      <c r="D852" t="s">
        <v>22</v>
      </c>
      <c r="E852" t="s">
        <v>36</v>
      </c>
      <c r="F852" t="s">
        <v>26</v>
      </c>
      <c r="G852" t="s">
        <v>27</v>
      </c>
      <c r="H852">
        <v>6</v>
      </c>
      <c r="I852">
        <v>36000</v>
      </c>
      <c r="J852" s="1">
        <v>45015</v>
      </c>
      <c r="K852" s="1">
        <v>45089</v>
      </c>
      <c r="L852">
        <v>60</v>
      </c>
      <c r="M852">
        <v>355</v>
      </c>
      <c r="N852" t="s">
        <v>20</v>
      </c>
      <c r="O852">
        <v>74</v>
      </c>
    </row>
    <row r="853" spans="1:15" x14ac:dyDescent="0.3">
      <c r="A853">
        <v>852</v>
      </c>
      <c r="B853" t="s">
        <v>887</v>
      </c>
      <c r="C853">
        <v>46</v>
      </c>
      <c r="D853" t="s">
        <v>16</v>
      </c>
      <c r="E853" t="s">
        <v>17</v>
      </c>
      <c r="F853" t="s">
        <v>18</v>
      </c>
      <c r="G853" t="s">
        <v>19</v>
      </c>
      <c r="H853">
        <v>3</v>
      </c>
      <c r="I853">
        <v>4200</v>
      </c>
      <c r="J853" s="1">
        <v>44624</v>
      </c>
      <c r="K853" s="1">
        <v>44825</v>
      </c>
      <c r="L853">
        <v>1776</v>
      </c>
      <c r="M853">
        <v>619</v>
      </c>
      <c r="N853" t="s">
        <v>20</v>
      </c>
      <c r="O853">
        <v>201</v>
      </c>
    </row>
    <row r="854" spans="1:15" x14ac:dyDescent="0.3">
      <c r="A854">
        <v>853</v>
      </c>
      <c r="B854" t="s">
        <v>888</v>
      </c>
      <c r="C854">
        <v>46</v>
      </c>
      <c r="D854" t="s">
        <v>52</v>
      </c>
      <c r="E854" t="s">
        <v>17</v>
      </c>
      <c r="F854" t="s">
        <v>18</v>
      </c>
      <c r="G854" t="s">
        <v>33</v>
      </c>
      <c r="H854">
        <v>9</v>
      </c>
      <c r="I854">
        <v>9900</v>
      </c>
      <c r="J854" s="1">
        <v>44883</v>
      </c>
      <c r="K854" s="1">
        <v>45348</v>
      </c>
      <c r="L854">
        <v>5508</v>
      </c>
      <c r="M854">
        <v>96</v>
      </c>
      <c r="N854" t="s">
        <v>47</v>
      </c>
      <c r="O854">
        <v>465</v>
      </c>
    </row>
    <row r="855" spans="1:15" x14ac:dyDescent="0.3">
      <c r="A855">
        <v>854</v>
      </c>
      <c r="B855" t="s">
        <v>889</v>
      </c>
      <c r="C855">
        <v>49</v>
      </c>
      <c r="D855" t="s">
        <v>63</v>
      </c>
      <c r="E855" t="s">
        <v>30</v>
      </c>
      <c r="F855" t="s">
        <v>31</v>
      </c>
      <c r="G855" t="s">
        <v>33</v>
      </c>
      <c r="H855">
        <v>4</v>
      </c>
      <c r="I855">
        <v>30000</v>
      </c>
      <c r="J855" s="1">
        <v>45014</v>
      </c>
      <c r="K855" s="1">
        <v>45371</v>
      </c>
      <c r="L855">
        <v>208</v>
      </c>
      <c r="M855">
        <v>73</v>
      </c>
      <c r="N855" t="s">
        <v>47</v>
      </c>
      <c r="O855">
        <v>357</v>
      </c>
    </row>
    <row r="856" spans="1:15" x14ac:dyDescent="0.3">
      <c r="A856">
        <v>855</v>
      </c>
      <c r="B856" t="s">
        <v>890</v>
      </c>
      <c r="C856">
        <v>23</v>
      </c>
      <c r="D856" t="s">
        <v>22</v>
      </c>
      <c r="E856" t="s">
        <v>25</v>
      </c>
      <c r="F856" t="s">
        <v>18</v>
      </c>
      <c r="G856" t="s">
        <v>19</v>
      </c>
      <c r="H856">
        <v>9</v>
      </c>
      <c r="I856">
        <v>21600</v>
      </c>
      <c r="J856" s="1">
        <v>44961</v>
      </c>
      <c r="K856" s="1">
        <v>45332</v>
      </c>
      <c r="L856">
        <v>5382</v>
      </c>
      <c r="M856">
        <v>112</v>
      </c>
      <c r="N856" t="s">
        <v>47</v>
      </c>
      <c r="O856">
        <v>371</v>
      </c>
    </row>
    <row r="857" spans="1:15" x14ac:dyDescent="0.3">
      <c r="A857">
        <v>856</v>
      </c>
      <c r="B857" t="s">
        <v>891</v>
      </c>
      <c r="C857">
        <v>56</v>
      </c>
      <c r="D857" t="s">
        <v>38</v>
      </c>
      <c r="E857" t="s">
        <v>25</v>
      </c>
      <c r="F857" t="s">
        <v>23</v>
      </c>
      <c r="G857" t="s">
        <v>27</v>
      </c>
      <c r="H857">
        <v>5</v>
      </c>
      <c r="I857">
        <v>15500</v>
      </c>
      <c r="J857" s="1">
        <v>44910</v>
      </c>
      <c r="K857" s="1">
        <v>45297</v>
      </c>
      <c r="L857">
        <v>750</v>
      </c>
      <c r="M857">
        <v>147</v>
      </c>
      <c r="N857" t="s">
        <v>47</v>
      </c>
      <c r="O857">
        <v>387</v>
      </c>
    </row>
    <row r="858" spans="1:15" x14ac:dyDescent="0.3">
      <c r="A858">
        <v>857</v>
      </c>
      <c r="B858" t="s">
        <v>892</v>
      </c>
      <c r="C858">
        <v>58</v>
      </c>
      <c r="D858" t="s">
        <v>52</v>
      </c>
      <c r="E858" t="s">
        <v>17</v>
      </c>
      <c r="F858" t="s">
        <v>23</v>
      </c>
      <c r="G858" t="s">
        <v>27</v>
      </c>
      <c r="H858">
        <v>5</v>
      </c>
      <c r="I858">
        <v>5000</v>
      </c>
      <c r="J858" s="1">
        <v>44873</v>
      </c>
      <c r="K858" s="1">
        <v>45244</v>
      </c>
      <c r="L858">
        <v>685</v>
      </c>
      <c r="M858">
        <v>200</v>
      </c>
      <c r="N858" t="s">
        <v>20</v>
      </c>
      <c r="O858">
        <v>371</v>
      </c>
    </row>
    <row r="859" spans="1:15" x14ac:dyDescent="0.3">
      <c r="A859">
        <v>858</v>
      </c>
      <c r="B859" t="s">
        <v>893</v>
      </c>
      <c r="C859">
        <v>61</v>
      </c>
      <c r="D859" t="s">
        <v>16</v>
      </c>
      <c r="E859" t="s">
        <v>17</v>
      </c>
      <c r="F859" t="s">
        <v>18</v>
      </c>
      <c r="G859" t="s">
        <v>19</v>
      </c>
      <c r="H859">
        <v>9</v>
      </c>
      <c r="I859">
        <v>10800</v>
      </c>
      <c r="J859" s="1">
        <v>44688</v>
      </c>
      <c r="K859" s="1">
        <v>44712</v>
      </c>
      <c r="L859">
        <v>5373</v>
      </c>
      <c r="M859">
        <v>732</v>
      </c>
      <c r="N859" t="s">
        <v>20</v>
      </c>
      <c r="O859">
        <v>24</v>
      </c>
    </row>
    <row r="860" spans="1:15" x14ac:dyDescent="0.3">
      <c r="A860">
        <v>859</v>
      </c>
      <c r="B860" t="s">
        <v>894</v>
      </c>
      <c r="C860">
        <v>42</v>
      </c>
      <c r="D860" t="s">
        <v>46</v>
      </c>
      <c r="E860" t="s">
        <v>30</v>
      </c>
      <c r="F860" t="s">
        <v>23</v>
      </c>
      <c r="G860" t="s">
        <v>33</v>
      </c>
      <c r="H860">
        <v>4</v>
      </c>
      <c r="I860">
        <v>38400</v>
      </c>
      <c r="J860" s="1">
        <v>45157</v>
      </c>
      <c r="K860" s="1">
        <v>45446</v>
      </c>
      <c r="L860">
        <v>600</v>
      </c>
      <c r="M860">
        <v>-2</v>
      </c>
      <c r="N860" t="s">
        <v>47</v>
      </c>
      <c r="O860">
        <v>289</v>
      </c>
    </row>
    <row r="861" spans="1:15" x14ac:dyDescent="0.3">
      <c r="A861">
        <v>860</v>
      </c>
      <c r="B861" t="s">
        <v>895</v>
      </c>
      <c r="C861">
        <v>63</v>
      </c>
      <c r="D861" t="s">
        <v>40</v>
      </c>
      <c r="E861" t="s">
        <v>30</v>
      </c>
      <c r="F861" t="s">
        <v>18</v>
      </c>
      <c r="G861" t="s">
        <v>19</v>
      </c>
      <c r="H861">
        <v>10</v>
      </c>
      <c r="I861">
        <v>85000</v>
      </c>
      <c r="J861" s="1">
        <v>44705</v>
      </c>
      <c r="K861" s="1">
        <v>45070</v>
      </c>
      <c r="L861">
        <v>6140</v>
      </c>
      <c r="M861">
        <v>374</v>
      </c>
      <c r="N861" t="s">
        <v>20</v>
      </c>
      <c r="O861">
        <v>365</v>
      </c>
    </row>
    <row r="862" spans="1:15" x14ac:dyDescent="0.3">
      <c r="A862">
        <v>861</v>
      </c>
      <c r="B862" t="s">
        <v>896</v>
      </c>
      <c r="C862">
        <v>58</v>
      </c>
      <c r="D862" t="s">
        <v>40</v>
      </c>
      <c r="E862" t="s">
        <v>17</v>
      </c>
      <c r="F862" t="s">
        <v>18</v>
      </c>
      <c r="G862" t="s">
        <v>27</v>
      </c>
      <c r="H862">
        <v>4</v>
      </c>
      <c r="I862">
        <v>4800</v>
      </c>
      <c r="J862" s="1">
        <v>45027</v>
      </c>
      <c r="K862" s="1">
        <v>45077</v>
      </c>
      <c r="L862">
        <v>2396</v>
      </c>
      <c r="M862">
        <v>367</v>
      </c>
      <c r="N862" t="s">
        <v>20</v>
      </c>
      <c r="O862">
        <v>50</v>
      </c>
    </row>
    <row r="863" spans="1:15" x14ac:dyDescent="0.3">
      <c r="A863">
        <v>862</v>
      </c>
      <c r="B863" t="s">
        <v>897</v>
      </c>
      <c r="C863">
        <v>24</v>
      </c>
      <c r="D863" t="s">
        <v>22</v>
      </c>
      <c r="E863" t="s">
        <v>36</v>
      </c>
      <c r="F863" t="s">
        <v>23</v>
      </c>
      <c r="G863" t="s">
        <v>19</v>
      </c>
      <c r="H863">
        <v>7</v>
      </c>
      <c r="I863">
        <v>65100</v>
      </c>
      <c r="J863" s="1">
        <v>45049</v>
      </c>
      <c r="K863" s="1">
        <v>45158</v>
      </c>
      <c r="L863">
        <v>966</v>
      </c>
      <c r="M863">
        <v>286</v>
      </c>
      <c r="N863" t="s">
        <v>20</v>
      </c>
      <c r="O863">
        <v>109</v>
      </c>
    </row>
    <row r="864" spans="1:15" x14ac:dyDescent="0.3">
      <c r="A864">
        <v>863</v>
      </c>
      <c r="B864" t="s">
        <v>898</v>
      </c>
      <c r="C864">
        <v>56</v>
      </c>
      <c r="D864" t="s">
        <v>16</v>
      </c>
      <c r="E864" t="s">
        <v>30</v>
      </c>
      <c r="F864" t="s">
        <v>26</v>
      </c>
      <c r="G864" t="s">
        <v>27</v>
      </c>
      <c r="H864">
        <v>9</v>
      </c>
      <c r="I864">
        <v>84600</v>
      </c>
      <c r="J864" s="1">
        <v>44966</v>
      </c>
      <c r="K864" s="1">
        <v>45412</v>
      </c>
      <c r="L864">
        <v>234</v>
      </c>
      <c r="M864">
        <v>32</v>
      </c>
      <c r="N864" t="s">
        <v>47</v>
      </c>
      <c r="O864">
        <v>446</v>
      </c>
    </row>
    <row r="865" spans="1:15" x14ac:dyDescent="0.3">
      <c r="A865">
        <v>864</v>
      </c>
      <c r="B865" t="s">
        <v>899</v>
      </c>
      <c r="C865">
        <v>47</v>
      </c>
      <c r="D865" t="s">
        <v>46</v>
      </c>
      <c r="E865" t="s">
        <v>36</v>
      </c>
      <c r="F865" t="s">
        <v>26</v>
      </c>
      <c r="G865" t="s">
        <v>33</v>
      </c>
      <c r="H865">
        <v>3</v>
      </c>
      <c r="I865">
        <v>29100</v>
      </c>
      <c r="J865" s="1">
        <v>45079</v>
      </c>
      <c r="K865" s="1">
        <v>45144</v>
      </c>
      <c r="L865">
        <v>123</v>
      </c>
      <c r="M865">
        <v>300</v>
      </c>
      <c r="N865" t="s">
        <v>20</v>
      </c>
      <c r="O865">
        <v>65</v>
      </c>
    </row>
    <row r="866" spans="1:15" x14ac:dyDescent="0.3">
      <c r="A866">
        <v>865</v>
      </c>
      <c r="B866" t="s">
        <v>900</v>
      </c>
      <c r="C866">
        <v>50</v>
      </c>
      <c r="D866" t="s">
        <v>46</v>
      </c>
      <c r="E866" t="s">
        <v>25</v>
      </c>
      <c r="F866" t="s">
        <v>23</v>
      </c>
      <c r="G866" t="s">
        <v>19</v>
      </c>
      <c r="H866">
        <v>8</v>
      </c>
      <c r="I866">
        <v>8800</v>
      </c>
      <c r="J866" s="1">
        <v>44722</v>
      </c>
      <c r="K866" s="1">
        <v>45205</v>
      </c>
      <c r="L866">
        <v>1160</v>
      </c>
      <c r="M866">
        <v>239</v>
      </c>
      <c r="N866" t="s">
        <v>20</v>
      </c>
      <c r="O866">
        <v>483</v>
      </c>
    </row>
    <row r="867" spans="1:15" x14ac:dyDescent="0.3">
      <c r="A867">
        <v>866</v>
      </c>
      <c r="B867" t="s">
        <v>901</v>
      </c>
      <c r="C867">
        <v>28</v>
      </c>
      <c r="D867" t="s">
        <v>29</v>
      </c>
      <c r="E867" t="s">
        <v>17</v>
      </c>
      <c r="F867" t="s">
        <v>26</v>
      </c>
      <c r="G867" t="s">
        <v>19</v>
      </c>
      <c r="H867">
        <v>6</v>
      </c>
      <c r="I867">
        <v>10200</v>
      </c>
      <c r="J867" s="1">
        <v>44858</v>
      </c>
      <c r="K867" s="1">
        <v>44878</v>
      </c>
      <c r="L867">
        <v>258</v>
      </c>
      <c r="M867">
        <v>566</v>
      </c>
      <c r="N867" t="s">
        <v>20</v>
      </c>
      <c r="O867">
        <v>20</v>
      </c>
    </row>
    <row r="868" spans="1:15" x14ac:dyDescent="0.3">
      <c r="A868">
        <v>867</v>
      </c>
      <c r="B868" t="s">
        <v>902</v>
      </c>
      <c r="C868">
        <v>44</v>
      </c>
      <c r="D868" t="s">
        <v>52</v>
      </c>
      <c r="E868" t="s">
        <v>17</v>
      </c>
      <c r="F868" t="s">
        <v>18</v>
      </c>
      <c r="G868" t="s">
        <v>19</v>
      </c>
      <c r="H868">
        <v>5</v>
      </c>
      <c r="I868">
        <v>5500</v>
      </c>
      <c r="J868" s="1">
        <v>45059</v>
      </c>
      <c r="K868" s="1">
        <v>45073</v>
      </c>
      <c r="L868">
        <v>2995</v>
      </c>
      <c r="M868">
        <v>371</v>
      </c>
      <c r="N868" t="s">
        <v>20</v>
      </c>
      <c r="O868">
        <v>14</v>
      </c>
    </row>
    <row r="869" spans="1:15" x14ac:dyDescent="0.3">
      <c r="A869">
        <v>868</v>
      </c>
      <c r="B869" t="s">
        <v>903</v>
      </c>
      <c r="C869">
        <v>39</v>
      </c>
      <c r="D869" t="s">
        <v>52</v>
      </c>
      <c r="E869" t="s">
        <v>36</v>
      </c>
      <c r="F869" t="s">
        <v>23</v>
      </c>
      <c r="G869" t="s">
        <v>19</v>
      </c>
      <c r="H869">
        <v>4</v>
      </c>
      <c r="I869">
        <v>44000</v>
      </c>
      <c r="J869" s="1">
        <v>45062</v>
      </c>
      <c r="K869" s="1">
        <v>45063</v>
      </c>
      <c r="L869">
        <v>468</v>
      </c>
      <c r="M869">
        <v>381</v>
      </c>
      <c r="N869" t="s">
        <v>20</v>
      </c>
      <c r="O869">
        <v>1</v>
      </c>
    </row>
    <row r="870" spans="1:15" x14ac:dyDescent="0.3">
      <c r="A870">
        <v>869</v>
      </c>
      <c r="B870" t="s">
        <v>904</v>
      </c>
      <c r="C870">
        <v>51</v>
      </c>
      <c r="D870" t="s">
        <v>29</v>
      </c>
      <c r="E870" t="s">
        <v>17</v>
      </c>
      <c r="F870" t="s">
        <v>23</v>
      </c>
      <c r="G870" t="s">
        <v>33</v>
      </c>
      <c r="H870">
        <v>10</v>
      </c>
      <c r="I870">
        <v>11000</v>
      </c>
      <c r="J870" s="1">
        <v>45141</v>
      </c>
      <c r="K870" s="1">
        <v>45372</v>
      </c>
      <c r="L870">
        <v>1310</v>
      </c>
      <c r="M870">
        <v>72</v>
      </c>
      <c r="N870" t="s">
        <v>47</v>
      </c>
      <c r="O870">
        <v>231</v>
      </c>
    </row>
    <row r="871" spans="1:15" x14ac:dyDescent="0.3">
      <c r="A871">
        <v>870</v>
      </c>
      <c r="B871" t="s">
        <v>905</v>
      </c>
      <c r="C871">
        <v>53</v>
      </c>
      <c r="D871" t="s">
        <v>22</v>
      </c>
      <c r="E871" t="s">
        <v>36</v>
      </c>
      <c r="F871" t="s">
        <v>31</v>
      </c>
      <c r="G871" t="s">
        <v>19</v>
      </c>
      <c r="H871">
        <v>8</v>
      </c>
      <c r="I871">
        <v>157600</v>
      </c>
      <c r="J871" s="1">
        <v>45021</v>
      </c>
      <c r="K871" s="1">
        <v>45097</v>
      </c>
      <c r="L871">
        <v>400</v>
      </c>
      <c r="M871">
        <v>347</v>
      </c>
      <c r="N871" t="s">
        <v>20</v>
      </c>
      <c r="O871">
        <v>76</v>
      </c>
    </row>
    <row r="872" spans="1:15" x14ac:dyDescent="0.3">
      <c r="A872">
        <v>871</v>
      </c>
      <c r="B872" t="s">
        <v>906</v>
      </c>
      <c r="C872">
        <v>46</v>
      </c>
      <c r="D872" t="s">
        <v>16</v>
      </c>
      <c r="E872" t="s">
        <v>36</v>
      </c>
      <c r="F872" t="s">
        <v>26</v>
      </c>
      <c r="G872" t="s">
        <v>19</v>
      </c>
      <c r="H872">
        <v>6</v>
      </c>
      <c r="I872">
        <v>136200</v>
      </c>
      <c r="J872" s="1">
        <v>44608</v>
      </c>
      <c r="K872" s="1">
        <v>45098</v>
      </c>
      <c r="L872">
        <v>228</v>
      </c>
      <c r="M872">
        <v>346</v>
      </c>
      <c r="N872" t="s">
        <v>20</v>
      </c>
      <c r="O872">
        <v>490</v>
      </c>
    </row>
    <row r="873" spans="1:15" x14ac:dyDescent="0.3">
      <c r="A873">
        <v>872</v>
      </c>
      <c r="B873" t="s">
        <v>907</v>
      </c>
      <c r="C873">
        <v>57</v>
      </c>
      <c r="D873" t="s">
        <v>38</v>
      </c>
      <c r="E873" t="s">
        <v>17</v>
      </c>
      <c r="F873" t="s">
        <v>31</v>
      </c>
      <c r="G873" t="s">
        <v>19</v>
      </c>
      <c r="H873">
        <v>5</v>
      </c>
      <c r="I873">
        <v>8000</v>
      </c>
      <c r="J873" s="1">
        <v>44688</v>
      </c>
      <c r="K873" s="1">
        <v>45017</v>
      </c>
      <c r="L873">
        <v>325</v>
      </c>
      <c r="M873">
        <v>427</v>
      </c>
      <c r="N873" t="s">
        <v>20</v>
      </c>
      <c r="O873">
        <v>329</v>
      </c>
    </row>
    <row r="874" spans="1:15" x14ac:dyDescent="0.3">
      <c r="A874">
        <v>873</v>
      </c>
      <c r="B874" t="s">
        <v>908</v>
      </c>
      <c r="C874">
        <v>54</v>
      </c>
      <c r="D874" t="s">
        <v>16</v>
      </c>
      <c r="E874" t="s">
        <v>25</v>
      </c>
      <c r="F874" t="s">
        <v>23</v>
      </c>
      <c r="G874" t="s">
        <v>27</v>
      </c>
      <c r="H874">
        <v>4</v>
      </c>
      <c r="I874">
        <v>16400</v>
      </c>
      <c r="J874" s="1">
        <v>45049</v>
      </c>
      <c r="K874" s="1">
        <v>45306</v>
      </c>
      <c r="L874">
        <v>444</v>
      </c>
      <c r="M874">
        <v>138</v>
      </c>
      <c r="N874" t="s">
        <v>47</v>
      </c>
      <c r="O874">
        <v>257</v>
      </c>
    </row>
    <row r="875" spans="1:15" x14ac:dyDescent="0.3">
      <c r="A875">
        <v>874</v>
      </c>
      <c r="B875" t="s">
        <v>909</v>
      </c>
      <c r="C875">
        <v>34</v>
      </c>
      <c r="D875" t="s">
        <v>16</v>
      </c>
      <c r="E875" t="s">
        <v>25</v>
      </c>
      <c r="F875" t="s">
        <v>23</v>
      </c>
      <c r="G875" t="s">
        <v>19</v>
      </c>
      <c r="H875">
        <v>4</v>
      </c>
      <c r="I875">
        <v>17600</v>
      </c>
      <c r="J875" s="1">
        <v>45155</v>
      </c>
      <c r="K875" s="1">
        <v>45382</v>
      </c>
      <c r="L875">
        <v>460</v>
      </c>
      <c r="M875">
        <v>62</v>
      </c>
      <c r="N875" t="s">
        <v>47</v>
      </c>
      <c r="O875">
        <v>227</v>
      </c>
    </row>
    <row r="876" spans="1:15" x14ac:dyDescent="0.3">
      <c r="A876">
        <v>875</v>
      </c>
      <c r="B876" t="s">
        <v>910</v>
      </c>
      <c r="C876">
        <v>22</v>
      </c>
      <c r="D876" t="s">
        <v>29</v>
      </c>
      <c r="E876" t="s">
        <v>36</v>
      </c>
      <c r="F876" t="s">
        <v>23</v>
      </c>
      <c r="G876" t="s">
        <v>33</v>
      </c>
      <c r="H876">
        <v>6</v>
      </c>
      <c r="I876">
        <v>115800</v>
      </c>
      <c r="J876" s="1">
        <v>44746</v>
      </c>
      <c r="K876" s="1">
        <v>44958</v>
      </c>
      <c r="L876">
        <v>666</v>
      </c>
      <c r="M876">
        <v>486</v>
      </c>
      <c r="N876" t="s">
        <v>20</v>
      </c>
      <c r="O876">
        <v>212</v>
      </c>
    </row>
    <row r="877" spans="1:15" x14ac:dyDescent="0.3">
      <c r="A877">
        <v>876</v>
      </c>
      <c r="B877" t="s">
        <v>911</v>
      </c>
      <c r="C877">
        <v>28</v>
      </c>
      <c r="D877" t="s">
        <v>29</v>
      </c>
      <c r="E877" t="s">
        <v>36</v>
      </c>
      <c r="F877" t="s">
        <v>18</v>
      </c>
      <c r="G877" t="s">
        <v>19</v>
      </c>
      <c r="H877">
        <v>2</v>
      </c>
      <c r="I877">
        <v>45600</v>
      </c>
      <c r="J877" s="1">
        <v>44734</v>
      </c>
      <c r="K877" s="1">
        <v>44880</v>
      </c>
      <c r="L877">
        <v>1198</v>
      </c>
      <c r="M877">
        <v>564</v>
      </c>
      <c r="N877" t="s">
        <v>20</v>
      </c>
      <c r="O877">
        <v>146</v>
      </c>
    </row>
    <row r="878" spans="1:15" x14ac:dyDescent="0.3">
      <c r="A878">
        <v>877</v>
      </c>
      <c r="B878" t="s">
        <v>912</v>
      </c>
      <c r="C878">
        <v>40</v>
      </c>
      <c r="D878" t="s">
        <v>52</v>
      </c>
      <c r="E878" t="s">
        <v>30</v>
      </c>
      <c r="F878" t="s">
        <v>23</v>
      </c>
      <c r="G878" t="s">
        <v>19</v>
      </c>
      <c r="H878">
        <v>7</v>
      </c>
      <c r="I878">
        <v>60200</v>
      </c>
      <c r="J878" s="1">
        <v>44735</v>
      </c>
      <c r="K878" s="1">
        <v>44765</v>
      </c>
      <c r="L878">
        <v>1043</v>
      </c>
      <c r="M878">
        <v>679</v>
      </c>
      <c r="N878" t="s">
        <v>20</v>
      </c>
      <c r="O878">
        <v>30</v>
      </c>
    </row>
    <row r="879" spans="1:15" x14ac:dyDescent="0.3">
      <c r="A879">
        <v>878</v>
      </c>
      <c r="B879" t="s">
        <v>913</v>
      </c>
      <c r="C879">
        <v>40</v>
      </c>
      <c r="D879" t="s">
        <v>29</v>
      </c>
      <c r="E879" t="s">
        <v>25</v>
      </c>
      <c r="F879" t="s">
        <v>23</v>
      </c>
      <c r="G879" t="s">
        <v>19</v>
      </c>
      <c r="H879">
        <v>7</v>
      </c>
      <c r="I879">
        <v>9800</v>
      </c>
      <c r="J879" s="1">
        <v>44889</v>
      </c>
      <c r="K879" s="1">
        <v>44961</v>
      </c>
      <c r="L879">
        <v>952</v>
      </c>
      <c r="M879">
        <v>483</v>
      </c>
      <c r="N879" t="s">
        <v>20</v>
      </c>
      <c r="O879">
        <v>72</v>
      </c>
    </row>
    <row r="880" spans="1:15" x14ac:dyDescent="0.3">
      <c r="A880">
        <v>879</v>
      </c>
      <c r="B880" t="s">
        <v>914</v>
      </c>
      <c r="C880">
        <v>24</v>
      </c>
      <c r="D880" t="s">
        <v>29</v>
      </c>
      <c r="E880" t="s">
        <v>30</v>
      </c>
      <c r="F880" t="s">
        <v>26</v>
      </c>
      <c r="G880" t="s">
        <v>19</v>
      </c>
      <c r="H880">
        <v>4</v>
      </c>
      <c r="I880">
        <v>20000</v>
      </c>
      <c r="J880" s="1">
        <v>45162</v>
      </c>
      <c r="K880" s="1">
        <v>45283</v>
      </c>
      <c r="L880">
        <v>164</v>
      </c>
      <c r="M880">
        <v>161</v>
      </c>
      <c r="N880" t="s">
        <v>47</v>
      </c>
      <c r="O880">
        <v>121</v>
      </c>
    </row>
    <row r="881" spans="1:15" x14ac:dyDescent="0.3">
      <c r="A881">
        <v>880</v>
      </c>
      <c r="B881" t="s">
        <v>915</v>
      </c>
      <c r="C881">
        <v>41</v>
      </c>
      <c r="D881" t="s">
        <v>22</v>
      </c>
      <c r="E881" t="s">
        <v>17</v>
      </c>
      <c r="F881" t="s">
        <v>18</v>
      </c>
      <c r="G881" t="s">
        <v>19</v>
      </c>
      <c r="H881">
        <v>8</v>
      </c>
      <c r="I881">
        <v>12800</v>
      </c>
      <c r="J881" s="1">
        <v>44978</v>
      </c>
      <c r="K881" s="1">
        <v>45011</v>
      </c>
      <c r="L881">
        <v>4960</v>
      </c>
      <c r="M881">
        <v>433</v>
      </c>
      <c r="N881" t="s">
        <v>20</v>
      </c>
      <c r="O881">
        <v>33</v>
      </c>
    </row>
    <row r="882" spans="1:15" x14ac:dyDescent="0.3">
      <c r="A882">
        <v>881</v>
      </c>
      <c r="B882" t="s">
        <v>916</v>
      </c>
      <c r="C882">
        <v>38</v>
      </c>
      <c r="D882" t="s">
        <v>63</v>
      </c>
      <c r="E882" t="s">
        <v>36</v>
      </c>
      <c r="F882" t="s">
        <v>31</v>
      </c>
      <c r="G882" t="s">
        <v>19</v>
      </c>
      <c r="H882">
        <v>9</v>
      </c>
      <c r="I882">
        <v>217800</v>
      </c>
      <c r="J882" s="1">
        <v>44665</v>
      </c>
      <c r="K882" s="1">
        <v>44791</v>
      </c>
      <c r="L882">
        <v>585</v>
      </c>
      <c r="M882">
        <v>653</v>
      </c>
      <c r="N882" t="s">
        <v>20</v>
      </c>
      <c r="O882">
        <v>126</v>
      </c>
    </row>
    <row r="883" spans="1:15" x14ac:dyDescent="0.3">
      <c r="A883">
        <v>882</v>
      </c>
      <c r="B883" t="s">
        <v>917</v>
      </c>
      <c r="C883">
        <v>26</v>
      </c>
      <c r="D883" t="s">
        <v>52</v>
      </c>
      <c r="E883" t="s">
        <v>30</v>
      </c>
      <c r="F883" t="s">
        <v>26</v>
      </c>
      <c r="G883" t="s">
        <v>33</v>
      </c>
      <c r="H883">
        <v>9</v>
      </c>
      <c r="I883">
        <v>42300</v>
      </c>
      <c r="J883" s="1">
        <v>44707</v>
      </c>
      <c r="K883" s="1">
        <v>44898</v>
      </c>
      <c r="L883">
        <v>396</v>
      </c>
      <c r="M883">
        <v>546</v>
      </c>
      <c r="N883" t="s">
        <v>20</v>
      </c>
      <c r="O883">
        <v>191</v>
      </c>
    </row>
    <row r="884" spans="1:15" x14ac:dyDescent="0.3">
      <c r="A884">
        <v>883</v>
      </c>
      <c r="B884" t="s">
        <v>918</v>
      </c>
      <c r="C884">
        <v>49</v>
      </c>
      <c r="D884" t="s">
        <v>52</v>
      </c>
      <c r="E884" t="s">
        <v>25</v>
      </c>
      <c r="F884" t="s">
        <v>26</v>
      </c>
      <c r="G884" t="s">
        <v>27</v>
      </c>
      <c r="H884">
        <v>1</v>
      </c>
      <c r="I884">
        <v>1000</v>
      </c>
      <c r="J884" s="1">
        <v>45037</v>
      </c>
      <c r="K884" s="1">
        <v>45529</v>
      </c>
      <c r="L884">
        <v>49</v>
      </c>
      <c r="M884">
        <v>-85</v>
      </c>
      <c r="N884" t="s">
        <v>47</v>
      </c>
      <c r="O884">
        <v>492</v>
      </c>
    </row>
    <row r="885" spans="1:15" x14ac:dyDescent="0.3">
      <c r="A885">
        <v>884</v>
      </c>
      <c r="B885" t="s">
        <v>919</v>
      </c>
      <c r="C885">
        <v>51</v>
      </c>
      <c r="D885" t="s">
        <v>38</v>
      </c>
      <c r="E885" t="s">
        <v>25</v>
      </c>
      <c r="F885" t="s">
        <v>23</v>
      </c>
      <c r="G885" t="s">
        <v>19</v>
      </c>
      <c r="H885">
        <v>5</v>
      </c>
      <c r="I885">
        <v>17000</v>
      </c>
      <c r="J885" s="1">
        <v>44818</v>
      </c>
      <c r="K885" s="1">
        <v>45247</v>
      </c>
      <c r="L885">
        <v>670</v>
      </c>
      <c r="M885">
        <v>197</v>
      </c>
      <c r="N885" t="s">
        <v>20</v>
      </c>
      <c r="O885">
        <v>429</v>
      </c>
    </row>
    <row r="886" spans="1:15" x14ac:dyDescent="0.3">
      <c r="A886">
        <v>885</v>
      </c>
      <c r="B886" t="s">
        <v>920</v>
      </c>
      <c r="C886">
        <v>31</v>
      </c>
      <c r="D886" t="s">
        <v>29</v>
      </c>
      <c r="E886" t="s">
        <v>25</v>
      </c>
      <c r="F886" t="s">
        <v>18</v>
      </c>
      <c r="G886" t="s">
        <v>19</v>
      </c>
      <c r="H886">
        <v>9</v>
      </c>
      <c r="I886">
        <v>29700</v>
      </c>
      <c r="J886" s="1">
        <v>44633</v>
      </c>
      <c r="K886" s="1">
        <v>44786</v>
      </c>
      <c r="L886">
        <v>5355</v>
      </c>
      <c r="M886">
        <v>658</v>
      </c>
      <c r="N886" t="s">
        <v>20</v>
      </c>
      <c r="O886">
        <v>153</v>
      </c>
    </row>
    <row r="887" spans="1:15" x14ac:dyDescent="0.3">
      <c r="A887">
        <v>886</v>
      </c>
      <c r="B887" t="s">
        <v>921</v>
      </c>
      <c r="C887">
        <v>38</v>
      </c>
      <c r="D887" t="s">
        <v>22</v>
      </c>
      <c r="E887" t="s">
        <v>17</v>
      </c>
      <c r="F887" t="s">
        <v>31</v>
      </c>
      <c r="G887" t="s">
        <v>27</v>
      </c>
      <c r="H887">
        <v>7</v>
      </c>
      <c r="I887">
        <v>6300</v>
      </c>
      <c r="J887" s="1">
        <v>45078</v>
      </c>
      <c r="K887" s="1">
        <v>45568</v>
      </c>
      <c r="L887">
        <v>350</v>
      </c>
      <c r="M887">
        <v>-124</v>
      </c>
      <c r="N887" t="s">
        <v>47</v>
      </c>
      <c r="O887">
        <v>490</v>
      </c>
    </row>
    <row r="888" spans="1:15" x14ac:dyDescent="0.3">
      <c r="A888">
        <v>887</v>
      </c>
      <c r="B888" t="s">
        <v>922</v>
      </c>
      <c r="C888">
        <v>36</v>
      </c>
      <c r="D888" t="s">
        <v>29</v>
      </c>
      <c r="E888" t="s">
        <v>30</v>
      </c>
      <c r="F888" t="s">
        <v>26</v>
      </c>
      <c r="G888" t="s">
        <v>19</v>
      </c>
      <c r="H888">
        <v>6</v>
      </c>
      <c r="I888">
        <v>34800</v>
      </c>
      <c r="J888" s="1">
        <v>44777</v>
      </c>
      <c r="K888" s="1">
        <v>45012</v>
      </c>
      <c r="L888">
        <v>288</v>
      </c>
      <c r="M888">
        <v>432</v>
      </c>
      <c r="N888" t="s">
        <v>20</v>
      </c>
      <c r="O888">
        <v>235</v>
      </c>
    </row>
    <row r="889" spans="1:15" x14ac:dyDescent="0.3">
      <c r="A889">
        <v>888</v>
      </c>
      <c r="B889" t="s">
        <v>923</v>
      </c>
      <c r="C889">
        <v>59</v>
      </c>
      <c r="D889" t="s">
        <v>29</v>
      </c>
      <c r="E889" t="s">
        <v>17</v>
      </c>
      <c r="F889" t="s">
        <v>31</v>
      </c>
      <c r="G889" t="s">
        <v>19</v>
      </c>
      <c r="H889">
        <v>8</v>
      </c>
      <c r="I889">
        <v>4000</v>
      </c>
      <c r="J889" s="1">
        <v>44571</v>
      </c>
      <c r="K889" s="1">
        <v>44915</v>
      </c>
      <c r="L889">
        <v>328</v>
      </c>
      <c r="M889">
        <v>529</v>
      </c>
      <c r="N889" t="s">
        <v>20</v>
      </c>
      <c r="O889">
        <v>344</v>
      </c>
    </row>
    <row r="890" spans="1:15" x14ac:dyDescent="0.3">
      <c r="A890">
        <v>889</v>
      </c>
      <c r="B890" t="s">
        <v>924</v>
      </c>
      <c r="C890">
        <v>26</v>
      </c>
      <c r="D890" t="s">
        <v>22</v>
      </c>
      <c r="E890" t="s">
        <v>36</v>
      </c>
      <c r="F890" t="s">
        <v>26</v>
      </c>
      <c r="G890" t="s">
        <v>27</v>
      </c>
      <c r="H890">
        <v>2</v>
      </c>
      <c r="I890">
        <v>45200</v>
      </c>
      <c r="J890" s="1">
        <v>44593</v>
      </c>
      <c r="K890" s="1">
        <v>45049</v>
      </c>
      <c r="L890">
        <v>76</v>
      </c>
      <c r="M890">
        <v>395</v>
      </c>
      <c r="N890" t="s">
        <v>20</v>
      </c>
      <c r="O890">
        <v>456</v>
      </c>
    </row>
    <row r="891" spans="1:15" x14ac:dyDescent="0.3">
      <c r="A891">
        <v>890</v>
      </c>
      <c r="B891" t="s">
        <v>925</v>
      </c>
      <c r="C891">
        <v>43</v>
      </c>
      <c r="D891" t="s">
        <v>16</v>
      </c>
      <c r="E891" t="s">
        <v>30</v>
      </c>
      <c r="F891" t="s">
        <v>26</v>
      </c>
      <c r="G891" t="s">
        <v>27</v>
      </c>
      <c r="H891">
        <v>7</v>
      </c>
      <c r="I891">
        <v>31500</v>
      </c>
      <c r="J891" s="1">
        <v>44570</v>
      </c>
      <c r="K891" s="1">
        <v>44633</v>
      </c>
      <c r="L891">
        <v>273</v>
      </c>
      <c r="M891">
        <v>811</v>
      </c>
      <c r="N891" t="s">
        <v>20</v>
      </c>
      <c r="O891">
        <v>63</v>
      </c>
    </row>
    <row r="892" spans="1:15" x14ac:dyDescent="0.3">
      <c r="A892">
        <v>891</v>
      </c>
      <c r="B892" t="s">
        <v>926</v>
      </c>
      <c r="C892">
        <v>35</v>
      </c>
      <c r="D892" t="s">
        <v>29</v>
      </c>
      <c r="E892" t="s">
        <v>25</v>
      </c>
      <c r="F892" t="s">
        <v>26</v>
      </c>
      <c r="G892" t="s">
        <v>19</v>
      </c>
      <c r="H892">
        <v>1</v>
      </c>
      <c r="I892">
        <v>4100</v>
      </c>
      <c r="J892" s="1">
        <v>44849</v>
      </c>
      <c r="K892" s="1">
        <v>45197</v>
      </c>
      <c r="L892">
        <v>32</v>
      </c>
      <c r="M892">
        <v>247</v>
      </c>
      <c r="N892" t="s">
        <v>20</v>
      </c>
      <c r="O892">
        <v>348</v>
      </c>
    </row>
    <row r="893" spans="1:15" x14ac:dyDescent="0.3">
      <c r="A893">
        <v>892</v>
      </c>
      <c r="B893" t="s">
        <v>927</v>
      </c>
      <c r="C893">
        <v>35</v>
      </c>
      <c r="D893" t="s">
        <v>40</v>
      </c>
      <c r="E893" t="s">
        <v>17</v>
      </c>
      <c r="F893" t="s">
        <v>18</v>
      </c>
      <c r="G893" t="s">
        <v>19</v>
      </c>
      <c r="H893">
        <v>8</v>
      </c>
      <c r="I893">
        <v>9600</v>
      </c>
      <c r="J893" s="1">
        <v>44599</v>
      </c>
      <c r="K893" s="1">
        <v>44742</v>
      </c>
      <c r="L893">
        <v>4968</v>
      </c>
      <c r="M893">
        <v>702</v>
      </c>
      <c r="N893" t="s">
        <v>20</v>
      </c>
      <c r="O893">
        <v>143</v>
      </c>
    </row>
    <row r="894" spans="1:15" x14ac:dyDescent="0.3">
      <c r="A894">
        <v>893</v>
      </c>
      <c r="B894" t="s">
        <v>928</v>
      </c>
      <c r="C894">
        <v>28</v>
      </c>
      <c r="D894" t="s">
        <v>40</v>
      </c>
      <c r="E894" t="s">
        <v>17</v>
      </c>
      <c r="F894" t="s">
        <v>31</v>
      </c>
      <c r="G894" t="s">
        <v>33</v>
      </c>
      <c r="H894">
        <v>5</v>
      </c>
      <c r="I894">
        <v>8500</v>
      </c>
      <c r="J894" s="1">
        <v>45074</v>
      </c>
      <c r="K894" s="1">
        <v>45326</v>
      </c>
      <c r="L894">
        <v>200</v>
      </c>
      <c r="M894">
        <v>118</v>
      </c>
      <c r="N894" t="s">
        <v>47</v>
      </c>
      <c r="O894">
        <v>252</v>
      </c>
    </row>
    <row r="895" spans="1:15" x14ac:dyDescent="0.3">
      <c r="A895">
        <v>894</v>
      </c>
      <c r="B895" t="s">
        <v>929</v>
      </c>
      <c r="C895">
        <v>29</v>
      </c>
      <c r="D895" t="s">
        <v>40</v>
      </c>
      <c r="E895" t="s">
        <v>25</v>
      </c>
      <c r="F895" t="s">
        <v>23</v>
      </c>
      <c r="G895" t="s">
        <v>27</v>
      </c>
      <c r="H895">
        <v>2</v>
      </c>
      <c r="I895">
        <v>3000</v>
      </c>
      <c r="J895" s="1">
        <v>44827</v>
      </c>
      <c r="K895" s="1">
        <v>45304</v>
      </c>
      <c r="L895">
        <v>292</v>
      </c>
      <c r="M895">
        <v>140</v>
      </c>
      <c r="N895" t="s">
        <v>47</v>
      </c>
      <c r="O895">
        <v>477</v>
      </c>
    </row>
    <row r="896" spans="1:15" x14ac:dyDescent="0.3">
      <c r="A896">
        <v>895</v>
      </c>
      <c r="B896" t="s">
        <v>930</v>
      </c>
      <c r="C896">
        <v>65</v>
      </c>
      <c r="D896" t="s">
        <v>40</v>
      </c>
      <c r="E896" t="s">
        <v>30</v>
      </c>
      <c r="F896" t="s">
        <v>31</v>
      </c>
      <c r="G896" t="s">
        <v>19</v>
      </c>
      <c r="H896">
        <v>9</v>
      </c>
      <c r="I896">
        <v>72000</v>
      </c>
      <c r="J896" s="1">
        <v>44820</v>
      </c>
      <c r="K896" s="1">
        <v>45168</v>
      </c>
      <c r="L896">
        <v>585</v>
      </c>
      <c r="M896">
        <v>276</v>
      </c>
      <c r="N896" t="s">
        <v>20</v>
      </c>
      <c r="O896">
        <v>348</v>
      </c>
    </row>
    <row r="897" spans="1:15" x14ac:dyDescent="0.3">
      <c r="A897">
        <v>896</v>
      </c>
      <c r="B897" t="s">
        <v>931</v>
      </c>
      <c r="C897">
        <v>41</v>
      </c>
      <c r="D897" t="s">
        <v>46</v>
      </c>
      <c r="E897" t="s">
        <v>17</v>
      </c>
      <c r="F897" t="s">
        <v>26</v>
      </c>
      <c r="G897" t="s">
        <v>19</v>
      </c>
      <c r="H897">
        <v>7</v>
      </c>
      <c r="I897">
        <v>9100</v>
      </c>
      <c r="J897" s="1">
        <v>44842</v>
      </c>
      <c r="K897" s="1">
        <v>44904</v>
      </c>
      <c r="L897">
        <v>301</v>
      </c>
      <c r="M897">
        <v>540</v>
      </c>
      <c r="N897" t="s">
        <v>20</v>
      </c>
      <c r="O897">
        <v>62</v>
      </c>
    </row>
    <row r="898" spans="1:15" x14ac:dyDescent="0.3">
      <c r="A898">
        <v>897</v>
      </c>
      <c r="B898" t="s">
        <v>932</v>
      </c>
      <c r="C898">
        <v>23</v>
      </c>
      <c r="D898" t="s">
        <v>46</v>
      </c>
      <c r="E898" t="s">
        <v>36</v>
      </c>
      <c r="F898" t="s">
        <v>18</v>
      </c>
      <c r="G898" t="s">
        <v>27</v>
      </c>
      <c r="H898">
        <v>4</v>
      </c>
      <c r="I898">
        <v>26000</v>
      </c>
      <c r="J898" s="1">
        <v>44846</v>
      </c>
      <c r="K898" s="1">
        <v>45316</v>
      </c>
      <c r="L898">
        <v>2464</v>
      </c>
      <c r="M898">
        <v>128</v>
      </c>
      <c r="N898" t="s">
        <v>47</v>
      </c>
      <c r="O898">
        <v>470</v>
      </c>
    </row>
    <row r="899" spans="1:15" x14ac:dyDescent="0.3">
      <c r="A899">
        <v>898</v>
      </c>
      <c r="B899" t="s">
        <v>933</v>
      </c>
      <c r="C899">
        <v>33</v>
      </c>
      <c r="D899" t="s">
        <v>46</v>
      </c>
      <c r="E899" t="s">
        <v>30</v>
      </c>
      <c r="F899" t="s">
        <v>23</v>
      </c>
      <c r="G899" t="s">
        <v>33</v>
      </c>
      <c r="H899">
        <v>6</v>
      </c>
      <c r="I899">
        <v>22200</v>
      </c>
      <c r="J899" s="1">
        <v>45147</v>
      </c>
      <c r="K899" s="1">
        <v>45560</v>
      </c>
      <c r="L899">
        <v>666</v>
      </c>
      <c r="M899">
        <v>-116</v>
      </c>
      <c r="N899" t="s">
        <v>47</v>
      </c>
      <c r="O899">
        <v>413</v>
      </c>
    </row>
    <row r="900" spans="1:15" x14ac:dyDescent="0.3">
      <c r="A900">
        <v>899</v>
      </c>
      <c r="B900" t="s">
        <v>934</v>
      </c>
      <c r="C900">
        <v>33</v>
      </c>
      <c r="D900" t="s">
        <v>40</v>
      </c>
      <c r="E900" t="s">
        <v>36</v>
      </c>
      <c r="F900" t="s">
        <v>23</v>
      </c>
      <c r="G900" t="s">
        <v>19</v>
      </c>
      <c r="H900">
        <v>3</v>
      </c>
      <c r="I900">
        <v>47400</v>
      </c>
      <c r="J900" s="1">
        <v>44880</v>
      </c>
      <c r="K900" s="1">
        <v>44912</v>
      </c>
      <c r="L900">
        <v>450</v>
      </c>
      <c r="M900">
        <v>532</v>
      </c>
      <c r="N900" t="s">
        <v>20</v>
      </c>
      <c r="O900">
        <v>32</v>
      </c>
    </row>
    <row r="901" spans="1:15" x14ac:dyDescent="0.3">
      <c r="A901">
        <v>900</v>
      </c>
      <c r="B901" t="s">
        <v>935</v>
      </c>
      <c r="C901">
        <v>22</v>
      </c>
      <c r="D901" t="s">
        <v>16</v>
      </c>
      <c r="E901" t="s">
        <v>17</v>
      </c>
      <c r="F901" t="s">
        <v>26</v>
      </c>
      <c r="G901" t="s">
        <v>33</v>
      </c>
      <c r="H901">
        <v>10</v>
      </c>
      <c r="I901">
        <v>18000</v>
      </c>
      <c r="J901" s="1">
        <v>44904</v>
      </c>
      <c r="K901" s="1">
        <v>45334</v>
      </c>
      <c r="L901">
        <v>260</v>
      </c>
      <c r="M901">
        <v>110</v>
      </c>
      <c r="N901" t="s">
        <v>47</v>
      </c>
      <c r="O901">
        <v>430</v>
      </c>
    </row>
    <row r="902" spans="1:15" x14ac:dyDescent="0.3">
      <c r="A902">
        <v>901</v>
      </c>
      <c r="B902" t="s">
        <v>936</v>
      </c>
      <c r="C902">
        <v>42</v>
      </c>
      <c r="D902" t="s">
        <v>40</v>
      </c>
      <c r="E902" t="s">
        <v>17</v>
      </c>
      <c r="F902" t="s">
        <v>26</v>
      </c>
      <c r="G902" t="s">
        <v>19</v>
      </c>
      <c r="H902">
        <v>1</v>
      </c>
      <c r="I902">
        <v>1200</v>
      </c>
      <c r="J902" s="1">
        <v>45094</v>
      </c>
      <c r="K902" s="1">
        <v>45500</v>
      </c>
      <c r="L902">
        <v>25</v>
      </c>
      <c r="M902">
        <v>-56</v>
      </c>
      <c r="N902" t="s">
        <v>47</v>
      </c>
      <c r="O902">
        <v>406</v>
      </c>
    </row>
    <row r="903" spans="1:15" x14ac:dyDescent="0.3">
      <c r="A903">
        <v>902</v>
      </c>
      <c r="B903" t="s">
        <v>937</v>
      </c>
      <c r="C903">
        <v>58</v>
      </c>
      <c r="D903" t="s">
        <v>16</v>
      </c>
      <c r="E903" t="s">
        <v>36</v>
      </c>
      <c r="F903" t="s">
        <v>23</v>
      </c>
      <c r="G903" t="s">
        <v>33</v>
      </c>
      <c r="H903">
        <v>2</v>
      </c>
      <c r="I903">
        <v>15600</v>
      </c>
      <c r="J903" s="1">
        <v>44624</v>
      </c>
      <c r="K903" s="1">
        <v>45093</v>
      </c>
      <c r="L903">
        <v>224</v>
      </c>
      <c r="M903">
        <v>351</v>
      </c>
      <c r="N903" t="s">
        <v>20</v>
      </c>
      <c r="O903">
        <v>469</v>
      </c>
    </row>
    <row r="904" spans="1:15" x14ac:dyDescent="0.3">
      <c r="A904">
        <v>903</v>
      </c>
      <c r="B904" t="s">
        <v>938</v>
      </c>
      <c r="C904">
        <v>24</v>
      </c>
      <c r="D904" t="s">
        <v>22</v>
      </c>
      <c r="E904" t="s">
        <v>30</v>
      </c>
      <c r="F904" t="s">
        <v>23</v>
      </c>
      <c r="G904" t="s">
        <v>19</v>
      </c>
      <c r="H904">
        <v>8</v>
      </c>
      <c r="I904">
        <v>27200</v>
      </c>
      <c r="J904" s="1">
        <v>44870</v>
      </c>
      <c r="K904" s="1">
        <v>45182</v>
      </c>
      <c r="L904">
        <v>1200</v>
      </c>
      <c r="M904">
        <v>262</v>
      </c>
      <c r="N904" t="s">
        <v>20</v>
      </c>
      <c r="O904">
        <v>312</v>
      </c>
    </row>
    <row r="905" spans="1:15" x14ac:dyDescent="0.3">
      <c r="A905">
        <v>904</v>
      </c>
      <c r="B905" t="s">
        <v>939</v>
      </c>
      <c r="C905">
        <v>56</v>
      </c>
      <c r="D905" t="s">
        <v>22</v>
      </c>
      <c r="E905" t="s">
        <v>17</v>
      </c>
      <c r="F905" t="s">
        <v>23</v>
      </c>
      <c r="G905" t="s">
        <v>19</v>
      </c>
      <c r="H905">
        <v>1</v>
      </c>
      <c r="I905">
        <v>1100</v>
      </c>
      <c r="J905" s="1">
        <v>44952</v>
      </c>
      <c r="K905" s="1">
        <v>45157</v>
      </c>
      <c r="L905">
        <v>116</v>
      </c>
      <c r="M905">
        <v>287</v>
      </c>
      <c r="N905" t="s">
        <v>20</v>
      </c>
      <c r="O905">
        <v>205</v>
      </c>
    </row>
    <row r="906" spans="1:15" x14ac:dyDescent="0.3">
      <c r="A906">
        <v>905</v>
      </c>
      <c r="B906" t="s">
        <v>940</v>
      </c>
      <c r="C906">
        <v>45</v>
      </c>
      <c r="D906" t="s">
        <v>22</v>
      </c>
      <c r="E906" t="s">
        <v>25</v>
      </c>
      <c r="F906" t="s">
        <v>23</v>
      </c>
      <c r="G906" t="s">
        <v>33</v>
      </c>
      <c r="H906">
        <v>8</v>
      </c>
      <c r="I906">
        <v>34400</v>
      </c>
      <c r="J906" s="1">
        <v>45000</v>
      </c>
      <c r="K906" s="1">
        <v>45450</v>
      </c>
      <c r="L906">
        <v>1192</v>
      </c>
      <c r="M906">
        <v>-6</v>
      </c>
      <c r="N906" t="s">
        <v>47</v>
      </c>
      <c r="O906">
        <v>450</v>
      </c>
    </row>
    <row r="907" spans="1:15" x14ac:dyDescent="0.3">
      <c r="A907">
        <v>906</v>
      </c>
      <c r="B907" t="s">
        <v>941</v>
      </c>
      <c r="C907">
        <v>54</v>
      </c>
      <c r="D907" t="s">
        <v>16</v>
      </c>
      <c r="E907" t="s">
        <v>30</v>
      </c>
      <c r="F907" t="s">
        <v>23</v>
      </c>
      <c r="G907" t="s">
        <v>33</v>
      </c>
      <c r="H907">
        <v>6</v>
      </c>
      <c r="I907">
        <v>46800</v>
      </c>
      <c r="J907" s="1">
        <v>44759</v>
      </c>
      <c r="K907" s="1">
        <v>44814</v>
      </c>
      <c r="L907">
        <v>696</v>
      </c>
      <c r="M907">
        <v>630</v>
      </c>
      <c r="N907" t="s">
        <v>20</v>
      </c>
      <c r="O907">
        <v>55</v>
      </c>
    </row>
    <row r="908" spans="1:15" x14ac:dyDescent="0.3">
      <c r="A908">
        <v>907</v>
      </c>
      <c r="B908" t="s">
        <v>942</v>
      </c>
      <c r="C908">
        <v>29</v>
      </c>
      <c r="D908" t="s">
        <v>63</v>
      </c>
      <c r="E908" t="s">
        <v>17</v>
      </c>
      <c r="F908" t="s">
        <v>31</v>
      </c>
      <c r="G908" t="s">
        <v>27</v>
      </c>
      <c r="H908">
        <v>9</v>
      </c>
      <c r="I908">
        <v>9000</v>
      </c>
      <c r="J908" s="1">
        <v>44925</v>
      </c>
      <c r="K908" s="1">
        <v>45140</v>
      </c>
      <c r="L908">
        <v>540</v>
      </c>
      <c r="M908">
        <v>304</v>
      </c>
      <c r="N908" t="s">
        <v>20</v>
      </c>
      <c r="O908">
        <v>215</v>
      </c>
    </row>
    <row r="909" spans="1:15" x14ac:dyDescent="0.3">
      <c r="A909">
        <v>908</v>
      </c>
      <c r="B909" t="s">
        <v>943</v>
      </c>
      <c r="C909">
        <v>23</v>
      </c>
      <c r="D909" t="s">
        <v>46</v>
      </c>
      <c r="E909" t="s">
        <v>25</v>
      </c>
      <c r="F909" t="s">
        <v>31</v>
      </c>
      <c r="G909" t="s">
        <v>19</v>
      </c>
      <c r="H909">
        <v>1</v>
      </c>
      <c r="I909">
        <v>1500</v>
      </c>
      <c r="J909" s="1">
        <v>44881</v>
      </c>
      <c r="K909" s="1">
        <v>45180</v>
      </c>
      <c r="L909">
        <v>57</v>
      </c>
      <c r="M909">
        <v>264</v>
      </c>
      <c r="N909" t="s">
        <v>20</v>
      </c>
      <c r="O909">
        <v>299</v>
      </c>
    </row>
    <row r="910" spans="1:15" x14ac:dyDescent="0.3">
      <c r="A910">
        <v>909</v>
      </c>
      <c r="B910" t="s">
        <v>944</v>
      </c>
      <c r="C910">
        <v>51</v>
      </c>
      <c r="D910" t="s">
        <v>29</v>
      </c>
      <c r="E910" t="s">
        <v>30</v>
      </c>
      <c r="F910" t="s">
        <v>31</v>
      </c>
      <c r="G910" t="s">
        <v>19</v>
      </c>
      <c r="H910">
        <v>5</v>
      </c>
      <c r="I910">
        <v>39500</v>
      </c>
      <c r="J910" s="1">
        <v>44913</v>
      </c>
      <c r="K910" s="1">
        <v>45062</v>
      </c>
      <c r="L910">
        <v>265</v>
      </c>
      <c r="M910">
        <v>382</v>
      </c>
      <c r="N910" t="s">
        <v>20</v>
      </c>
      <c r="O910">
        <v>149</v>
      </c>
    </row>
    <row r="911" spans="1:15" x14ac:dyDescent="0.3">
      <c r="A911">
        <v>910</v>
      </c>
      <c r="B911" t="s">
        <v>945</v>
      </c>
      <c r="C911">
        <v>53</v>
      </c>
      <c r="D911" t="s">
        <v>63</v>
      </c>
      <c r="E911" t="s">
        <v>25</v>
      </c>
      <c r="F911" t="s">
        <v>23</v>
      </c>
      <c r="G911" t="s">
        <v>19</v>
      </c>
      <c r="H911">
        <v>9</v>
      </c>
      <c r="I911">
        <v>40500</v>
      </c>
      <c r="J911" s="1">
        <v>44617</v>
      </c>
      <c r="K911" s="1">
        <v>44833</v>
      </c>
      <c r="L911">
        <v>1188</v>
      </c>
      <c r="M911">
        <v>611</v>
      </c>
      <c r="N911" t="s">
        <v>20</v>
      </c>
      <c r="O911">
        <v>216</v>
      </c>
    </row>
    <row r="912" spans="1:15" x14ac:dyDescent="0.3">
      <c r="A912">
        <v>911</v>
      </c>
      <c r="B912" t="s">
        <v>946</v>
      </c>
      <c r="C912">
        <v>42</v>
      </c>
      <c r="D912" t="s">
        <v>40</v>
      </c>
      <c r="E912" t="s">
        <v>25</v>
      </c>
      <c r="F912" t="s">
        <v>31</v>
      </c>
      <c r="G912" t="s">
        <v>19</v>
      </c>
      <c r="H912">
        <v>4</v>
      </c>
      <c r="I912">
        <v>14800</v>
      </c>
      <c r="J912" s="1">
        <v>45049</v>
      </c>
      <c r="K912" s="1">
        <v>45404</v>
      </c>
      <c r="L912">
        <v>236</v>
      </c>
      <c r="M912">
        <v>40</v>
      </c>
      <c r="N912" t="s">
        <v>47</v>
      </c>
      <c r="O912">
        <v>355</v>
      </c>
    </row>
    <row r="913" spans="1:15" x14ac:dyDescent="0.3">
      <c r="A913">
        <v>912</v>
      </c>
      <c r="B913" t="s">
        <v>947</v>
      </c>
      <c r="C913">
        <v>42</v>
      </c>
      <c r="D913" t="s">
        <v>29</v>
      </c>
      <c r="E913" t="s">
        <v>30</v>
      </c>
      <c r="F913" t="s">
        <v>18</v>
      </c>
      <c r="G913" t="s">
        <v>33</v>
      </c>
      <c r="H913">
        <v>3</v>
      </c>
      <c r="I913">
        <v>11700</v>
      </c>
      <c r="J913" s="1">
        <v>45027</v>
      </c>
      <c r="K913" s="1">
        <v>45475</v>
      </c>
      <c r="L913">
        <v>1776</v>
      </c>
      <c r="M913">
        <v>-31</v>
      </c>
      <c r="N913" t="s">
        <v>47</v>
      </c>
      <c r="O913">
        <v>448</v>
      </c>
    </row>
    <row r="914" spans="1:15" x14ac:dyDescent="0.3">
      <c r="A914">
        <v>913</v>
      </c>
      <c r="B914" t="s">
        <v>948</v>
      </c>
      <c r="C914">
        <v>65</v>
      </c>
      <c r="D914" t="s">
        <v>46</v>
      </c>
      <c r="E914" t="s">
        <v>25</v>
      </c>
      <c r="F914" t="s">
        <v>23</v>
      </c>
      <c r="G914" t="s">
        <v>19</v>
      </c>
      <c r="H914">
        <v>4</v>
      </c>
      <c r="I914">
        <v>11600</v>
      </c>
      <c r="J914" s="1">
        <v>44780</v>
      </c>
      <c r="K914" s="1">
        <v>44902</v>
      </c>
      <c r="L914">
        <v>560</v>
      </c>
      <c r="M914">
        <v>542</v>
      </c>
      <c r="N914" t="s">
        <v>20</v>
      </c>
      <c r="O914">
        <v>122</v>
      </c>
    </row>
    <row r="915" spans="1:15" x14ac:dyDescent="0.3">
      <c r="A915">
        <v>914</v>
      </c>
      <c r="B915" t="s">
        <v>949</v>
      </c>
      <c r="C915">
        <v>32</v>
      </c>
      <c r="D915" t="s">
        <v>29</v>
      </c>
      <c r="E915" t="s">
        <v>36</v>
      </c>
      <c r="F915" t="s">
        <v>31</v>
      </c>
      <c r="G915" t="s">
        <v>33</v>
      </c>
      <c r="H915">
        <v>1</v>
      </c>
      <c r="I915">
        <v>16900</v>
      </c>
      <c r="J915" s="1">
        <v>44572</v>
      </c>
      <c r="K915" s="1">
        <v>44609</v>
      </c>
      <c r="L915">
        <v>52</v>
      </c>
      <c r="M915">
        <v>835</v>
      </c>
      <c r="N915" t="s">
        <v>20</v>
      </c>
      <c r="O915">
        <v>37</v>
      </c>
    </row>
    <row r="916" spans="1:15" x14ac:dyDescent="0.3">
      <c r="A916">
        <v>915</v>
      </c>
      <c r="B916" t="s">
        <v>950</v>
      </c>
      <c r="C916">
        <v>49</v>
      </c>
      <c r="D916" t="s">
        <v>63</v>
      </c>
      <c r="E916" t="s">
        <v>17</v>
      </c>
      <c r="F916" t="s">
        <v>31</v>
      </c>
      <c r="G916" t="s">
        <v>19</v>
      </c>
      <c r="H916">
        <v>4</v>
      </c>
      <c r="I916">
        <v>7200</v>
      </c>
      <c r="J916" s="1">
        <v>45161</v>
      </c>
      <c r="K916" s="1">
        <v>45628</v>
      </c>
      <c r="L916">
        <v>212</v>
      </c>
      <c r="M916">
        <v>-184</v>
      </c>
      <c r="N916" t="s">
        <v>47</v>
      </c>
      <c r="O916">
        <v>467</v>
      </c>
    </row>
    <row r="917" spans="1:15" x14ac:dyDescent="0.3">
      <c r="A917">
        <v>916</v>
      </c>
      <c r="B917" t="s">
        <v>951</v>
      </c>
      <c r="C917">
        <v>39</v>
      </c>
      <c r="D917" t="s">
        <v>63</v>
      </c>
      <c r="E917" t="s">
        <v>17</v>
      </c>
      <c r="F917" t="s">
        <v>31</v>
      </c>
      <c r="G917" t="s">
        <v>19</v>
      </c>
      <c r="H917">
        <v>3</v>
      </c>
      <c r="I917">
        <v>2700</v>
      </c>
      <c r="J917" s="1">
        <v>44830</v>
      </c>
      <c r="K917" s="1">
        <v>45198</v>
      </c>
      <c r="L917">
        <v>123</v>
      </c>
      <c r="M917">
        <v>246</v>
      </c>
      <c r="N917" t="s">
        <v>20</v>
      </c>
      <c r="O917">
        <v>368</v>
      </c>
    </row>
    <row r="918" spans="1:15" x14ac:dyDescent="0.3">
      <c r="A918">
        <v>917</v>
      </c>
      <c r="B918" t="s">
        <v>952</v>
      </c>
      <c r="C918">
        <v>22</v>
      </c>
      <c r="D918" t="s">
        <v>29</v>
      </c>
      <c r="E918" t="s">
        <v>25</v>
      </c>
      <c r="F918" t="s">
        <v>31</v>
      </c>
      <c r="G918" t="s">
        <v>19</v>
      </c>
      <c r="H918">
        <v>3</v>
      </c>
      <c r="I918">
        <v>13500</v>
      </c>
      <c r="J918" s="1">
        <v>44830</v>
      </c>
      <c r="K918" s="1">
        <v>45296</v>
      </c>
      <c r="L918">
        <v>108</v>
      </c>
      <c r="M918">
        <v>148</v>
      </c>
      <c r="N918" t="s">
        <v>47</v>
      </c>
      <c r="O918">
        <v>466</v>
      </c>
    </row>
    <row r="919" spans="1:15" x14ac:dyDescent="0.3">
      <c r="A919">
        <v>918</v>
      </c>
      <c r="B919" t="s">
        <v>953</v>
      </c>
      <c r="C919">
        <v>42</v>
      </c>
      <c r="D919" t="s">
        <v>63</v>
      </c>
      <c r="E919" t="s">
        <v>25</v>
      </c>
      <c r="F919" t="s">
        <v>26</v>
      </c>
      <c r="G919" t="s">
        <v>19</v>
      </c>
      <c r="H919">
        <v>4</v>
      </c>
      <c r="I919">
        <v>8800</v>
      </c>
      <c r="J919" s="1">
        <v>45029</v>
      </c>
      <c r="K919" s="1">
        <v>45151</v>
      </c>
      <c r="L919">
        <v>132</v>
      </c>
      <c r="M919">
        <v>293</v>
      </c>
      <c r="N919" t="s">
        <v>20</v>
      </c>
      <c r="O919">
        <v>122</v>
      </c>
    </row>
    <row r="920" spans="1:15" x14ac:dyDescent="0.3">
      <c r="A920">
        <v>919</v>
      </c>
      <c r="B920" t="s">
        <v>954</v>
      </c>
      <c r="C920">
        <v>28</v>
      </c>
      <c r="D920" t="s">
        <v>29</v>
      </c>
      <c r="E920" t="s">
        <v>25</v>
      </c>
      <c r="F920" t="s">
        <v>26</v>
      </c>
      <c r="G920" t="s">
        <v>19</v>
      </c>
      <c r="H920">
        <v>3</v>
      </c>
      <c r="I920">
        <v>13800</v>
      </c>
      <c r="J920" s="1">
        <v>44695</v>
      </c>
      <c r="K920" s="1">
        <v>45101</v>
      </c>
      <c r="L920">
        <v>66</v>
      </c>
      <c r="M920">
        <v>343</v>
      </c>
      <c r="N920" t="s">
        <v>20</v>
      </c>
      <c r="O920">
        <v>406</v>
      </c>
    </row>
    <row r="921" spans="1:15" x14ac:dyDescent="0.3">
      <c r="A921">
        <v>920</v>
      </c>
      <c r="B921" t="s">
        <v>955</v>
      </c>
      <c r="C921">
        <v>59</v>
      </c>
      <c r="D921" t="s">
        <v>40</v>
      </c>
      <c r="E921" t="s">
        <v>36</v>
      </c>
      <c r="F921" t="s">
        <v>18</v>
      </c>
      <c r="G921" t="s">
        <v>19</v>
      </c>
      <c r="H921">
        <v>7</v>
      </c>
      <c r="I921">
        <v>91000</v>
      </c>
      <c r="J921" s="1">
        <v>44609</v>
      </c>
      <c r="K921" s="1">
        <v>44999</v>
      </c>
      <c r="L921">
        <v>4403</v>
      </c>
      <c r="M921">
        <v>445</v>
      </c>
      <c r="N921" t="s">
        <v>20</v>
      </c>
      <c r="O921">
        <v>390</v>
      </c>
    </row>
    <row r="922" spans="1:15" x14ac:dyDescent="0.3">
      <c r="A922">
        <v>921</v>
      </c>
      <c r="B922" t="s">
        <v>956</v>
      </c>
      <c r="C922">
        <v>36</v>
      </c>
      <c r="D922" t="s">
        <v>40</v>
      </c>
      <c r="E922" t="s">
        <v>30</v>
      </c>
      <c r="F922" t="s">
        <v>31</v>
      </c>
      <c r="G922" t="s">
        <v>19</v>
      </c>
      <c r="H922">
        <v>1</v>
      </c>
      <c r="I922">
        <v>8200</v>
      </c>
      <c r="J922" s="1">
        <v>44848</v>
      </c>
      <c r="K922" s="1">
        <v>45294</v>
      </c>
      <c r="L922">
        <v>38</v>
      </c>
      <c r="M922">
        <v>150</v>
      </c>
      <c r="N922" t="s">
        <v>47</v>
      </c>
      <c r="O922">
        <v>446</v>
      </c>
    </row>
    <row r="923" spans="1:15" x14ac:dyDescent="0.3">
      <c r="A923">
        <v>922</v>
      </c>
      <c r="B923" t="s">
        <v>957</v>
      </c>
      <c r="C923">
        <v>63</v>
      </c>
      <c r="D923" t="s">
        <v>46</v>
      </c>
      <c r="E923" t="s">
        <v>25</v>
      </c>
      <c r="F923" t="s">
        <v>23</v>
      </c>
      <c r="G923" t="s">
        <v>33</v>
      </c>
      <c r="H923">
        <v>10</v>
      </c>
      <c r="I923">
        <v>13000</v>
      </c>
      <c r="J923" s="1">
        <v>44733</v>
      </c>
      <c r="K923" s="1">
        <v>44993</v>
      </c>
      <c r="L923">
        <v>1340</v>
      </c>
      <c r="M923">
        <v>451</v>
      </c>
      <c r="N923" t="s">
        <v>20</v>
      </c>
      <c r="O923">
        <v>260</v>
      </c>
    </row>
    <row r="924" spans="1:15" x14ac:dyDescent="0.3">
      <c r="A924">
        <v>923</v>
      </c>
      <c r="B924" t="s">
        <v>958</v>
      </c>
      <c r="C924">
        <v>41</v>
      </c>
      <c r="D924" t="s">
        <v>29</v>
      </c>
      <c r="E924" t="s">
        <v>36</v>
      </c>
      <c r="F924" t="s">
        <v>26</v>
      </c>
      <c r="G924" t="s">
        <v>19</v>
      </c>
      <c r="H924">
        <v>6</v>
      </c>
      <c r="I924">
        <v>133200</v>
      </c>
      <c r="J924" s="1">
        <v>45056</v>
      </c>
      <c r="K924" s="1">
        <v>45422</v>
      </c>
      <c r="L924">
        <v>246</v>
      </c>
      <c r="M924">
        <v>22</v>
      </c>
      <c r="N924" t="s">
        <v>47</v>
      </c>
      <c r="O924">
        <v>366</v>
      </c>
    </row>
    <row r="925" spans="1:15" x14ac:dyDescent="0.3">
      <c r="A925">
        <v>924</v>
      </c>
      <c r="B925" t="s">
        <v>959</v>
      </c>
      <c r="C925">
        <v>62</v>
      </c>
      <c r="D925" t="s">
        <v>46</v>
      </c>
      <c r="E925" t="s">
        <v>30</v>
      </c>
      <c r="F925" t="s">
        <v>26</v>
      </c>
      <c r="G925" t="s">
        <v>27</v>
      </c>
      <c r="H925">
        <v>1</v>
      </c>
      <c r="I925">
        <v>4700</v>
      </c>
      <c r="J925" s="1">
        <v>44786</v>
      </c>
      <c r="K925" s="1">
        <v>45244</v>
      </c>
      <c r="L925">
        <v>22</v>
      </c>
      <c r="M925">
        <v>200</v>
      </c>
      <c r="N925" t="s">
        <v>20</v>
      </c>
      <c r="O925">
        <v>458</v>
      </c>
    </row>
    <row r="926" spans="1:15" x14ac:dyDescent="0.3">
      <c r="A926">
        <v>925</v>
      </c>
      <c r="B926" t="s">
        <v>960</v>
      </c>
      <c r="C926">
        <v>40</v>
      </c>
      <c r="D926" t="s">
        <v>46</v>
      </c>
      <c r="E926" t="s">
        <v>25</v>
      </c>
      <c r="F926" t="s">
        <v>26</v>
      </c>
      <c r="G926" t="s">
        <v>19</v>
      </c>
      <c r="H926">
        <v>7</v>
      </c>
      <c r="I926">
        <v>32200</v>
      </c>
      <c r="J926" s="1">
        <v>44948</v>
      </c>
      <c r="K926" s="1">
        <v>45240</v>
      </c>
      <c r="L926">
        <v>140</v>
      </c>
      <c r="M926">
        <v>204</v>
      </c>
      <c r="N926" t="s">
        <v>20</v>
      </c>
      <c r="O926">
        <v>292</v>
      </c>
    </row>
    <row r="927" spans="1:15" x14ac:dyDescent="0.3">
      <c r="A927">
        <v>926</v>
      </c>
      <c r="B927" t="s">
        <v>961</v>
      </c>
      <c r="C927">
        <v>26</v>
      </c>
      <c r="D927" t="s">
        <v>29</v>
      </c>
      <c r="E927" t="s">
        <v>30</v>
      </c>
      <c r="F927" t="s">
        <v>23</v>
      </c>
      <c r="G927" t="s">
        <v>19</v>
      </c>
      <c r="H927">
        <v>5</v>
      </c>
      <c r="I927">
        <v>33000</v>
      </c>
      <c r="J927" s="1">
        <v>45093</v>
      </c>
      <c r="K927" s="1">
        <v>45273</v>
      </c>
      <c r="L927">
        <v>620</v>
      </c>
      <c r="M927">
        <v>171</v>
      </c>
      <c r="N927" t="s">
        <v>47</v>
      </c>
      <c r="O927">
        <v>180</v>
      </c>
    </row>
    <row r="928" spans="1:15" x14ac:dyDescent="0.3">
      <c r="A928">
        <v>927</v>
      </c>
      <c r="B928" t="s">
        <v>962</v>
      </c>
      <c r="C928">
        <v>49</v>
      </c>
      <c r="D928" t="s">
        <v>63</v>
      </c>
      <c r="E928" t="s">
        <v>36</v>
      </c>
      <c r="F928" t="s">
        <v>18</v>
      </c>
      <c r="G928" t="s">
        <v>33</v>
      </c>
      <c r="H928">
        <v>8</v>
      </c>
      <c r="I928">
        <v>153600</v>
      </c>
      <c r="J928" s="1">
        <v>44980</v>
      </c>
      <c r="K928" s="1">
        <v>45168</v>
      </c>
      <c r="L928">
        <v>4968</v>
      </c>
      <c r="M928">
        <v>276</v>
      </c>
      <c r="N928" t="s">
        <v>20</v>
      </c>
      <c r="O928">
        <v>188</v>
      </c>
    </row>
    <row r="929" spans="1:15" x14ac:dyDescent="0.3">
      <c r="A929">
        <v>928</v>
      </c>
      <c r="B929" t="s">
        <v>963</v>
      </c>
      <c r="C929">
        <v>32</v>
      </c>
      <c r="D929" t="s">
        <v>29</v>
      </c>
      <c r="E929" t="s">
        <v>30</v>
      </c>
      <c r="F929" t="s">
        <v>26</v>
      </c>
      <c r="G929" t="s">
        <v>19</v>
      </c>
      <c r="H929">
        <v>8</v>
      </c>
      <c r="I929">
        <v>39200</v>
      </c>
      <c r="J929" s="1">
        <v>44833</v>
      </c>
      <c r="K929" s="1">
        <v>45163</v>
      </c>
      <c r="L929">
        <v>112</v>
      </c>
      <c r="M929">
        <v>281</v>
      </c>
      <c r="N929" t="s">
        <v>20</v>
      </c>
      <c r="O929">
        <v>330</v>
      </c>
    </row>
    <row r="930" spans="1:15" x14ac:dyDescent="0.3">
      <c r="A930">
        <v>929</v>
      </c>
      <c r="B930" t="s">
        <v>964</v>
      </c>
      <c r="C930">
        <v>53</v>
      </c>
      <c r="D930" t="s">
        <v>29</v>
      </c>
      <c r="E930" t="s">
        <v>17</v>
      </c>
      <c r="F930" t="s">
        <v>18</v>
      </c>
      <c r="G930" t="s">
        <v>27</v>
      </c>
      <c r="H930">
        <v>9</v>
      </c>
      <c r="I930">
        <v>16200</v>
      </c>
      <c r="J930" s="1">
        <v>44642</v>
      </c>
      <c r="K930" s="1">
        <v>45044</v>
      </c>
      <c r="L930">
        <v>5463</v>
      </c>
      <c r="M930">
        <v>400</v>
      </c>
      <c r="N930" t="s">
        <v>20</v>
      </c>
      <c r="O930">
        <v>402</v>
      </c>
    </row>
    <row r="931" spans="1:15" x14ac:dyDescent="0.3">
      <c r="A931">
        <v>930</v>
      </c>
      <c r="B931" t="s">
        <v>965</v>
      </c>
      <c r="C931">
        <v>44</v>
      </c>
      <c r="D931" t="s">
        <v>40</v>
      </c>
      <c r="E931" t="s">
        <v>17</v>
      </c>
      <c r="F931" t="s">
        <v>23</v>
      </c>
      <c r="G931" t="s">
        <v>19</v>
      </c>
      <c r="H931">
        <v>1</v>
      </c>
      <c r="I931">
        <v>1600</v>
      </c>
      <c r="J931" s="1">
        <v>44767</v>
      </c>
      <c r="K931" s="1">
        <v>44937</v>
      </c>
      <c r="L931">
        <v>122</v>
      </c>
      <c r="M931">
        <v>507</v>
      </c>
      <c r="N931" t="s">
        <v>20</v>
      </c>
      <c r="O931">
        <v>170</v>
      </c>
    </row>
    <row r="932" spans="1:15" x14ac:dyDescent="0.3">
      <c r="A932">
        <v>931</v>
      </c>
      <c r="B932" t="s">
        <v>966</v>
      </c>
      <c r="C932">
        <v>33</v>
      </c>
      <c r="D932" t="s">
        <v>29</v>
      </c>
      <c r="E932" t="s">
        <v>30</v>
      </c>
      <c r="F932" t="s">
        <v>18</v>
      </c>
      <c r="G932" t="s">
        <v>19</v>
      </c>
      <c r="H932">
        <v>10</v>
      </c>
      <c r="I932">
        <v>41000</v>
      </c>
      <c r="J932" s="1">
        <v>45118</v>
      </c>
      <c r="K932" s="1">
        <v>45585</v>
      </c>
      <c r="L932">
        <v>6060</v>
      </c>
      <c r="M932">
        <v>-141</v>
      </c>
      <c r="N932" t="s">
        <v>47</v>
      </c>
      <c r="O932">
        <v>467</v>
      </c>
    </row>
    <row r="933" spans="1:15" x14ac:dyDescent="0.3">
      <c r="A933">
        <v>932</v>
      </c>
      <c r="B933" t="s">
        <v>967</v>
      </c>
      <c r="C933">
        <v>46</v>
      </c>
      <c r="D933" t="s">
        <v>63</v>
      </c>
      <c r="E933" t="s">
        <v>30</v>
      </c>
      <c r="F933" t="s">
        <v>18</v>
      </c>
      <c r="G933" t="s">
        <v>19</v>
      </c>
      <c r="H933">
        <v>7</v>
      </c>
      <c r="I933">
        <v>67900</v>
      </c>
      <c r="J933" s="1">
        <v>45155</v>
      </c>
      <c r="K933" s="1">
        <v>45542</v>
      </c>
      <c r="L933">
        <v>4130</v>
      </c>
      <c r="M933">
        <v>-98</v>
      </c>
      <c r="N933" t="s">
        <v>47</v>
      </c>
      <c r="O933">
        <v>387</v>
      </c>
    </row>
    <row r="934" spans="1:15" x14ac:dyDescent="0.3">
      <c r="A934">
        <v>933</v>
      </c>
      <c r="B934" t="s">
        <v>968</v>
      </c>
      <c r="C934">
        <v>35</v>
      </c>
      <c r="D934" t="s">
        <v>46</v>
      </c>
      <c r="E934" t="s">
        <v>25</v>
      </c>
      <c r="F934" t="s">
        <v>26</v>
      </c>
      <c r="G934" t="s">
        <v>19</v>
      </c>
      <c r="H934">
        <v>4</v>
      </c>
      <c r="I934">
        <v>11600</v>
      </c>
      <c r="J934" s="1">
        <v>44801</v>
      </c>
      <c r="K934" s="1">
        <v>45065</v>
      </c>
      <c r="L934">
        <v>188</v>
      </c>
      <c r="M934">
        <v>379</v>
      </c>
      <c r="N934" t="s">
        <v>20</v>
      </c>
      <c r="O934">
        <v>264</v>
      </c>
    </row>
    <row r="935" spans="1:15" x14ac:dyDescent="0.3">
      <c r="A935">
        <v>934</v>
      </c>
      <c r="B935" t="s">
        <v>969</v>
      </c>
      <c r="C935">
        <v>41</v>
      </c>
      <c r="D935" t="s">
        <v>46</v>
      </c>
      <c r="E935" t="s">
        <v>36</v>
      </c>
      <c r="F935" t="s">
        <v>18</v>
      </c>
      <c r="G935" t="s">
        <v>19</v>
      </c>
      <c r="H935">
        <v>4</v>
      </c>
      <c r="I935">
        <v>76000</v>
      </c>
      <c r="J935" s="1">
        <v>44989</v>
      </c>
      <c r="K935" s="1">
        <v>45096</v>
      </c>
      <c r="L935">
        <v>2472</v>
      </c>
      <c r="M935">
        <v>348</v>
      </c>
      <c r="N935" t="s">
        <v>20</v>
      </c>
      <c r="O935">
        <v>107</v>
      </c>
    </row>
    <row r="936" spans="1:15" x14ac:dyDescent="0.3">
      <c r="A936">
        <v>935</v>
      </c>
      <c r="B936" t="s">
        <v>970</v>
      </c>
      <c r="C936">
        <v>57</v>
      </c>
      <c r="D936" t="s">
        <v>46</v>
      </c>
      <c r="E936" t="s">
        <v>17</v>
      </c>
      <c r="F936" t="s">
        <v>18</v>
      </c>
      <c r="G936" t="s">
        <v>19</v>
      </c>
      <c r="H936">
        <v>3</v>
      </c>
      <c r="I936">
        <v>3300</v>
      </c>
      <c r="J936" s="1">
        <v>44571</v>
      </c>
      <c r="K936" s="1">
        <v>44826</v>
      </c>
      <c r="L936">
        <v>1836</v>
      </c>
      <c r="M936">
        <v>618</v>
      </c>
      <c r="N936" t="s">
        <v>20</v>
      </c>
      <c r="O936">
        <v>255</v>
      </c>
    </row>
    <row r="937" spans="1:15" x14ac:dyDescent="0.3">
      <c r="A937">
        <v>936</v>
      </c>
      <c r="B937" t="s">
        <v>971</v>
      </c>
      <c r="C937">
        <v>64</v>
      </c>
      <c r="D937" t="s">
        <v>29</v>
      </c>
      <c r="E937" t="s">
        <v>25</v>
      </c>
      <c r="F937" t="s">
        <v>26</v>
      </c>
      <c r="G937" t="s">
        <v>33</v>
      </c>
      <c r="H937">
        <v>7</v>
      </c>
      <c r="I937">
        <v>28700</v>
      </c>
      <c r="J937" s="1">
        <v>45112</v>
      </c>
      <c r="K937" s="1">
        <v>45265</v>
      </c>
      <c r="L937">
        <v>210</v>
      </c>
      <c r="M937">
        <v>179</v>
      </c>
      <c r="N937" t="s">
        <v>47</v>
      </c>
      <c r="O937">
        <v>153</v>
      </c>
    </row>
    <row r="938" spans="1:15" x14ac:dyDescent="0.3">
      <c r="A938">
        <v>937</v>
      </c>
      <c r="B938" t="s">
        <v>972</v>
      </c>
      <c r="C938">
        <v>42</v>
      </c>
      <c r="D938" t="s">
        <v>63</v>
      </c>
      <c r="E938" t="s">
        <v>17</v>
      </c>
      <c r="F938" t="s">
        <v>31</v>
      </c>
      <c r="G938" t="s">
        <v>19</v>
      </c>
      <c r="H938">
        <v>10</v>
      </c>
      <c r="I938">
        <v>18000</v>
      </c>
      <c r="J938" s="1">
        <v>45149</v>
      </c>
      <c r="K938" s="1">
        <v>45592</v>
      </c>
      <c r="L938">
        <v>550</v>
      </c>
      <c r="M938">
        <v>-148</v>
      </c>
      <c r="N938" t="s">
        <v>47</v>
      </c>
      <c r="O938">
        <v>443</v>
      </c>
    </row>
    <row r="939" spans="1:15" x14ac:dyDescent="0.3">
      <c r="A939">
        <v>938</v>
      </c>
      <c r="B939" t="s">
        <v>973</v>
      </c>
      <c r="C939">
        <v>55</v>
      </c>
      <c r="D939" t="s">
        <v>22</v>
      </c>
      <c r="E939" t="s">
        <v>25</v>
      </c>
      <c r="F939" t="s">
        <v>26</v>
      </c>
      <c r="G939" t="s">
        <v>19</v>
      </c>
      <c r="H939">
        <v>7</v>
      </c>
      <c r="I939">
        <v>12600</v>
      </c>
      <c r="J939" s="1">
        <v>45048</v>
      </c>
      <c r="K939" s="1">
        <v>45103</v>
      </c>
      <c r="L939">
        <v>217</v>
      </c>
      <c r="M939">
        <v>341</v>
      </c>
      <c r="N939" t="s">
        <v>20</v>
      </c>
      <c r="O939">
        <v>55</v>
      </c>
    </row>
    <row r="940" spans="1:15" x14ac:dyDescent="0.3">
      <c r="A940">
        <v>939</v>
      </c>
      <c r="B940" t="s">
        <v>974</v>
      </c>
      <c r="C940">
        <v>27</v>
      </c>
      <c r="D940" t="s">
        <v>46</v>
      </c>
      <c r="E940" t="s">
        <v>30</v>
      </c>
      <c r="F940" t="s">
        <v>23</v>
      </c>
      <c r="G940" t="s">
        <v>19</v>
      </c>
      <c r="H940">
        <v>9</v>
      </c>
      <c r="I940">
        <v>40500</v>
      </c>
      <c r="J940" s="1">
        <v>44594</v>
      </c>
      <c r="K940" s="1">
        <v>45017</v>
      </c>
      <c r="L940">
        <v>1332</v>
      </c>
      <c r="M940">
        <v>427</v>
      </c>
      <c r="N940" t="s">
        <v>20</v>
      </c>
      <c r="O940">
        <v>423</v>
      </c>
    </row>
    <row r="941" spans="1:15" x14ac:dyDescent="0.3">
      <c r="A941">
        <v>940</v>
      </c>
      <c r="B941" t="s">
        <v>975</v>
      </c>
      <c r="C941">
        <v>25</v>
      </c>
      <c r="D941" t="s">
        <v>46</v>
      </c>
      <c r="E941" t="s">
        <v>17</v>
      </c>
      <c r="F941" t="s">
        <v>31</v>
      </c>
      <c r="G941" t="s">
        <v>19</v>
      </c>
      <c r="H941">
        <v>7</v>
      </c>
      <c r="I941">
        <v>7700</v>
      </c>
      <c r="J941" s="1">
        <v>44772</v>
      </c>
      <c r="K941" s="1">
        <v>44891</v>
      </c>
      <c r="L941">
        <v>336</v>
      </c>
      <c r="M941">
        <v>553</v>
      </c>
      <c r="N941" t="s">
        <v>20</v>
      </c>
      <c r="O941">
        <v>119</v>
      </c>
    </row>
    <row r="942" spans="1:15" x14ac:dyDescent="0.3">
      <c r="A942">
        <v>941</v>
      </c>
      <c r="B942" t="s">
        <v>976</v>
      </c>
      <c r="C942">
        <v>54</v>
      </c>
      <c r="D942" t="s">
        <v>16</v>
      </c>
      <c r="E942" t="s">
        <v>36</v>
      </c>
      <c r="F942" t="s">
        <v>23</v>
      </c>
      <c r="G942" t="s">
        <v>19</v>
      </c>
      <c r="H942">
        <v>1</v>
      </c>
      <c r="I942">
        <v>10600</v>
      </c>
      <c r="J942" s="1">
        <v>44896</v>
      </c>
      <c r="K942" s="1">
        <v>45336</v>
      </c>
      <c r="L942">
        <v>136</v>
      </c>
      <c r="M942">
        <v>108</v>
      </c>
      <c r="N942" t="s">
        <v>47</v>
      </c>
      <c r="O942">
        <v>440</v>
      </c>
    </row>
    <row r="943" spans="1:15" x14ac:dyDescent="0.3">
      <c r="A943">
        <v>942</v>
      </c>
      <c r="B943" t="s">
        <v>977</v>
      </c>
      <c r="C943">
        <v>55</v>
      </c>
      <c r="D943" t="s">
        <v>22</v>
      </c>
      <c r="E943" t="s">
        <v>25</v>
      </c>
      <c r="F943" t="s">
        <v>23</v>
      </c>
      <c r="G943" t="s">
        <v>19</v>
      </c>
      <c r="H943">
        <v>7</v>
      </c>
      <c r="I943">
        <v>21000</v>
      </c>
      <c r="J943" s="1">
        <v>44632</v>
      </c>
      <c r="K943" s="1">
        <v>44831</v>
      </c>
      <c r="L943">
        <v>861</v>
      </c>
      <c r="M943">
        <v>613</v>
      </c>
      <c r="N943" t="s">
        <v>20</v>
      </c>
      <c r="O943">
        <v>199</v>
      </c>
    </row>
    <row r="944" spans="1:15" x14ac:dyDescent="0.3">
      <c r="A944">
        <v>943</v>
      </c>
      <c r="B944" t="s">
        <v>978</v>
      </c>
      <c r="C944">
        <v>63</v>
      </c>
      <c r="D944" t="s">
        <v>52</v>
      </c>
      <c r="E944" t="s">
        <v>25</v>
      </c>
      <c r="F944" t="s">
        <v>18</v>
      </c>
      <c r="G944" t="s">
        <v>33</v>
      </c>
      <c r="H944">
        <v>8</v>
      </c>
      <c r="I944">
        <v>12800</v>
      </c>
      <c r="J944" s="1">
        <v>45150</v>
      </c>
      <c r="K944" s="1">
        <v>45630</v>
      </c>
      <c r="L944">
        <v>4872</v>
      </c>
      <c r="M944">
        <v>-186</v>
      </c>
      <c r="N944" t="s">
        <v>47</v>
      </c>
      <c r="O944">
        <v>480</v>
      </c>
    </row>
    <row r="945" spans="1:15" x14ac:dyDescent="0.3">
      <c r="A945">
        <v>944</v>
      </c>
      <c r="B945" t="s">
        <v>979</v>
      </c>
      <c r="C945">
        <v>21</v>
      </c>
      <c r="D945" t="s">
        <v>40</v>
      </c>
      <c r="E945" t="s">
        <v>36</v>
      </c>
      <c r="F945" t="s">
        <v>18</v>
      </c>
      <c r="G945" t="s">
        <v>19</v>
      </c>
      <c r="H945">
        <v>3</v>
      </c>
      <c r="I945">
        <v>58800</v>
      </c>
      <c r="J945" s="1">
        <v>44627</v>
      </c>
      <c r="K945" s="1">
        <v>45049</v>
      </c>
      <c r="L945">
        <v>1845</v>
      </c>
      <c r="M945">
        <v>395</v>
      </c>
      <c r="N945" t="s">
        <v>20</v>
      </c>
      <c r="O945">
        <v>422</v>
      </c>
    </row>
    <row r="946" spans="1:15" x14ac:dyDescent="0.3">
      <c r="A946">
        <v>945</v>
      </c>
      <c r="B946" t="s">
        <v>980</v>
      </c>
      <c r="C946">
        <v>50</v>
      </c>
      <c r="D946" t="s">
        <v>40</v>
      </c>
      <c r="E946" t="s">
        <v>30</v>
      </c>
      <c r="F946" t="s">
        <v>26</v>
      </c>
      <c r="G946" t="s">
        <v>33</v>
      </c>
      <c r="H946">
        <v>10</v>
      </c>
      <c r="I946">
        <v>33000</v>
      </c>
      <c r="J946" s="1">
        <v>44655</v>
      </c>
      <c r="K946" s="1">
        <v>44802</v>
      </c>
      <c r="L946">
        <v>390</v>
      </c>
      <c r="M946">
        <v>642</v>
      </c>
      <c r="N946" t="s">
        <v>20</v>
      </c>
      <c r="O946">
        <v>147</v>
      </c>
    </row>
    <row r="947" spans="1:15" x14ac:dyDescent="0.3">
      <c r="A947">
        <v>946</v>
      </c>
      <c r="B947" t="s">
        <v>981</v>
      </c>
      <c r="C947">
        <v>32</v>
      </c>
      <c r="D947" t="s">
        <v>29</v>
      </c>
      <c r="E947" t="s">
        <v>30</v>
      </c>
      <c r="F947" t="s">
        <v>26</v>
      </c>
      <c r="G947" t="s">
        <v>27</v>
      </c>
      <c r="H947">
        <v>7</v>
      </c>
      <c r="I947">
        <v>35000</v>
      </c>
      <c r="J947" s="1">
        <v>44745</v>
      </c>
      <c r="K947" s="1">
        <v>45205</v>
      </c>
      <c r="L947">
        <v>343</v>
      </c>
      <c r="M947">
        <v>239</v>
      </c>
      <c r="N947" t="s">
        <v>20</v>
      </c>
      <c r="O947">
        <v>460</v>
      </c>
    </row>
    <row r="948" spans="1:15" x14ac:dyDescent="0.3">
      <c r="A948">
        <v>947</v>
      </c>
      <c r="B948" t="s">
        <v>982</v>
      </c>
      <c r="C948">
        <v>65</v>
      </c>
      <c r="D948" t="s">
        <v>22</v>
      </c>
      <c r="E948" t="s">
        <v>36</v>
      </c>
      <c r="F948" t="s">
        <v>26</v>
      </c>
      <c r="G948" t="s">
        <v>19</v>
      </c>
      <c r="H948">
        <v>10</v>
      </c>
      <c r="I948">
        <v>81000</v>
      </c>
      <c r="J948" s="1">
        <v>44964</v>
      </c>
      <c r="K948" s="1">
        <v>45321</v>
      </c>
      <c r="L948">
        <v>120</v>
      </c>
      <c r="M948">
        <v>123</v>
      </c>
      <c r="N948" t="s">
        <v>47</v>
      </c>
      <c r="O948">
        <v>357</v>
      </c>
    </row>
    <row r="949" spans="1:15" x14ac:dyDescent="0.3">
      <c r="A949">
        <v>948</v>
      </c>
      <c r="B949" t="s">
        <v>983</v>
      </c>
      <c r="C949">
        <v>39</v>
      </c>
      <c r="D949" t="s">
        <v>40</v>
      </c>
      <c r="E949" t="s">
        <v>25</v>
      </c>
      <c r="F949" t="s">
        <v>18</v>
      </c>
      <c r="G949" t="s">
        <v>27</v>
      </c>
      <c r="H949">
        <v>2</v>
      </c>
      <c r="I949">
        <v>7800</v>
      </c>
      <c r="J949" s="1">
        <v>44784</v>
      </c>
      <c r="K949" s="1">
        <v>45249</v>
      </c>
      <c r="L949">
        <v>1242</v>
      </c>
      <c r="M949">
        <v>195</v>
      </c>
      <c r="N949" t="s">
        <v>20</v>
      </c>
      <c r="O949">
        <v>465</v>
      </c>
    </row>
    <row r="950" spans="1:15" x14ac:dyDescent="0.3">
      <c r="A950">
        <v>949</v>
      </c>
      <c r="B950" t="s">
        <v>984</v>
      </c>
      <c r="C950">
        <v>27</v>
      </c>
      <c r="D950" t="s">
        <v>22</v>
      </c>
      <c r="E950" t="s">
        <v>17</v>
      </c>
      <c r="F950" t="s">
        <v>18</v>
      </c>
      <c r="G950" t="s">
        <v>19</v>
      </c>
      <c r="H950">
        <v>9</v>
      </c>
      <c r="I950">
        <v>10800</v>
      </c>
      <c r="J950" s="1">
        <v>44981</v>
      </c>
      <c r="K950" s="1">
        <v>45211</v>
      </c>
      <c r="L950">
        <v>5400</v>
      </c>
      <c r="M950">
        <v>233</v>
      </c>
      <c r="N950" t="s">
        <v>20</v>
      </c>
      <c r="O950">
        <v>230</v>
      </c>
    </row>
    <row r="951" spans="1:15" x14ac:dyDescent="0.3">
      <c r="A951">
        <v>950</v>
      </c>
      <c r="B951" t="s">
        <v>985</v>
      </c>
      <c r="C951">
        <v>22</v>
      </c>
      <c r="D951" t="s">
        <v>38</v>
      </c>
      <c r="E951" t="s">
        <v>25</v>
      </c>
      <c r="F951" t="s">
        <v>23</v>
      </c>
      <c r="G951" t="s">
        <v>33</v>
      </c>
      <c r="H951">
        <v>2</v>
      </c>
      <c r="I951">
        <v>7200</v>
      </c>
      <c r="J951" s="1">
        <v>45034</v>
      </c>
      <c r="K951" s="1">
        <v>45229</v>
      </c>
      <c r="L951">
        <v>262</v>
      </c>
      <c r="M951">
        <v>215</v>
      </c>
      <c r="N951" t="s">
        <v>20</v>
      </c>
      <c r="O951">
        <v>195</v>
      </c>
    </row>
    <row r="952" spans="1:15" x14ac:dyDescent="0.3">
      <c r="A952">
        <v>951</v>
      </c>
      <c r="B952" t="s">
        <v>986</v>
      </c>
      <c r="C952">
        <v>21</v>
      </c>
      <c r="D952" t="s">
        <v>22</v>
      </c>
      <c r="E952" t="s">
        <v>25</v>
      </c>
      <c r="F952" t="s">
        <v>26</v>
      </c>
      <c r="G952" t="s">
        <v>19</v>
      </c>
      <c r="H952">
        <v>5</v>
      </c>
      <c r="I952">
        <v>7500</v>
      </c>
      <c r="J952" s="1">
        <v>44701</v>
      </c>
      <c r="K952" s="1">
        <v>44868</v>
      </c>
      <c r="L952">
        <v>195</v>
      </c>
      <c r="M952">
        <v>576</v>
      </c>
      <c r="N952" t="s">
        <v>20</v>
      </c>
      <c r="O952">
        <v>167</v>
      </c>
    </row>
    <row r="953" spans="1:15" x14ac:dyDescent="0.3">
      <c r="A953">
        <v>952</v>
      </c>
      <c r="B953" t="s">
        <v>987</v>
      </c>
      <c r="C953">
        <v>56</v>
      </c>
      <c r="D953" t="s">
        <v>46</v>
      </c>
      <c r="E953" t="s">
        <v>36</v>
      </c>
      <c r="F953" t="s">
        <v>23</v>
      </c>
      <c r="G953" t="s">
        <v>19</v>
      </c>
      <c r="H953">
        <v>4</v>
      </c>
      <c r="I953">
        <v>77200</v>
      </c>
      <c r="J953" s="1">
        <v>44705</v>
      </c>
      <c r="K953" s="1">
        <v>44946</v>
      </c>
      <c r="L953">
        <v>508</v>
      </c>
      <c r="M953">
        <v>498</v>
      </c>
      <c r="N953" t="s">
        <v>20</v>
      </c>
      <c r="O953">
        <v>241</v>
      </c>
    </row>
    <row r="954" spans="1:15" x14ac:dyDescent="0.3">
      <c r="A954">
        <v>953</v>
      </c>
      <c r="B954" t="s">
        <v>988</v>
      </c>
      <c r="C954">
        <v>27</v>
      </c>
      <c r="D954" t="s">
        <v>52</v>
      </c>
      <c r="E954" t="s">
        <v>25</v>
      </c>
      <c r="F954" t="s">
        <v>23</v>
      </c>
      <c r="G954" t="s">
        <v>27</v>
      </c>
      <c r="H954">
        <v>3</v>
      </c>
      <c r="I954">
        <v>6600</v>
      </c>
      <c r="J954" s="1">
        <v>44689</v>
      </c>
      <c r="K954" s="1">
        <v>44962</v>
      </c>
      <c r="L954">
        <v>405</v>
      </c>
      <c r="M954">
        <v>482</v>
      </c>
      <c r="N954" t="s">
        <v>20</v>
      </c>
      <c r="O954">
        <v>273</v>
      </c>
    </row>
    <row r="955" spans="1:15" x14ac:dyDescent="0.3">
      <c r="A955">
        <v>954</v>
      </c>
      <c r="B955" t="s">
        <v>989</v>
      </c>
      <c r="C955">
        <v>30</v>
      </c>
      <c r="D955" t="s">
        <v>52</v>
      </c>
      <c r="E955" t="s">
        <v>17</v>
      </c>
      <c r="F955" t="s">
        <v>23</v>
      </c>
      <c r="G955" t="s">
        <v>19</v>
      </c>
      <c r="H955">
        <v>8</v>
      </c>
      <c r="I955">
        <v>9600</v>
      </c>
      <c r="J955" s="1">
        <v>44744</v>
      </c>
      <c r="K955" s="1">
        <v>44854</v>
      </c>
      <c r="L955">
        <v>896</v>
      </c>
      <c r="M955">
        <v>590</v>
      </c>
      <c r="N955" t="s">
        <v>20</v>
      </c>
      <c r="O955">
        <v>110</v>
      </c>
    </row>
    <row r="956" spans="1:15" x14ac:dyDescent="0.3">
      <c r="A956">
        <v>955</v>
      </c>
      <c r="B956" t="s">
        <v>990</v>
      </c>
      <c r="C956">
        <v>62</v>
      </c>
      <c r="D956" t="s">
        <v>40</v>
      </c>
      <c r="E956" t="s">
        <v>36</v>
      </c>
      <c r="F956" t="s">
        <v>23</v>
      </c>
      <c r="G956" t="s">
        <v>27</v>
      </c>
      <c r="H956">
        <v>2</v>
      </c>
      <c r="I956">
        <v>35600</v>
      </c>
      <c r="J956" s="1">
        <v>44877</v>
      </c>
      <c r="K956" s="1">
        <v>45104</v>
      </c>
      <c r="L956">
        <v>226</v>
      </c>
      <c r="M956">
        <v>340</v>
      </c>
      <c r="N956" t="s">
        <v>20</v>
      </c>
      <c r="O956">
        <v>227</v>
      </c>
    </row>
    <row r="957" spans="1:15" x14ac:dyDescent="0.3">
      <c r="A957">
        <v>956</v>
      </c>
      <c r="B957" t="s">
        <v>991</v>
      </c>
      <c r="C957">
        <v>36</v>
      </c>
      <c r="D957" t="s">
        <v>63</v>
      </c>
      <c r="E957" t="s">
        <v>17</v>
      </c>
      <c r="F957" t="s">
        <v>26</v>
      </c>
      <c r="G957" t="s">
        <v>19</v>
      </c>
      <c r="H957">
        <v>6</v>
      </c>
      <c r="I957">
        <v>6000</v>
      </c>
      <c r="J957" s="1">
        <v>44766</v>
      </c>
      <c r="K957" s="1">
        <v>44812</v>
      </c>
      <c r="L957">
        <v>66</v>
      </c>
      <c r="M957">
        <v>632</v>
      </c>
      <c r="N957" t="s">
        <v>20</v>
      </c>
      <c r="O957">
        <v>46</v>
      </c>
    </row>
    <row r="958" spans="1:15" x14ac:dyDescent="0.3">
      <c r="A958">
        <v>957</v>
      </c>
      <c r="B958" t="s">
        <v>992</v>
      </c>
      <c r="C958">
        <v>33</v>
      </c>
      <c r="D958" t="s">
        <v>22</v>
      </c>
      <c r="E958" t="s">
        <v>17</v>
      </c>
      <c r="F958" t="s">
        <v>23</v>
      </c>
      <c r="G958" t="s">
        <v>19</v>
      </c>
      <c r="H958">
        <v>2</v>
      </c>
      <c r="I958">
        <v>2000</v>
      </c>
      <c r="J958" s="1">
        <v>44660</v>
      </c>
      <c r="K958" s="1">
        <v>45068</v>
      </c>
      <c r="L958">
        <v>240</v>
      </c>
      <c r="M958">
        <v>376</v>
      </c>
      <c r="N958" t="s">
        <v>20</v>
      </c>
      <c r="O958">
        <v>408</v>
      </c>
    </row>
    <row r="959" spans="1:15" x14ac:dyDescent="0.3">
      <c r="A959">
        <v>958</v>
      </c>
      <c r="B959" t="s">
        <v>993</v>
      </c>
      <c r="C959">
        <v>27</v>
      </c>
      <c r="D959" t="s">
        <v>52</v>
      </c>
      <c r="E959" t="s">
        <v>17</v>
      </c>
      <c r="F959" t="s">
        <v>26</v>
      </c>
      <c r="G959" t="s">
        <v>27</v>
      </c>
      <c r="H959">
        <v>6</v>
      </c>
      <c r="I959">
        <v>7200</v>
      </c>
      <c r="J959" s="1">
        <v>45137</v>
      </c>
      <c r="K959" s="1">
        <v>45457</v>
      </c>
      <c r="L959">
        <v>132</v>
      </c>
      <c r="M959">
        <v>-13</v>
      </c>
      <c r="N959" t="s">
        <v>47</v>
      </c>
      <c r="O959">
        <v>320</v>
      </c>
    </row>
    <row r="960" spans="1:15" x14ac:dyDescent="0.3">
      <c r="A960">
        <v>959</v>
      </c>
      <c r="B960" t="s">
        <v>994</v>
      </c>
      <c r="C960">
        <v>35</v>
      </c>
      <c r="D960" t="s">
        <v>40</v>
      </c>
      <c r="E960" t="s">
        <v>36</v>
      </c>
      <c r="F960" t="s">
        <v>26</v>
      </c>
      <c r="G960" t="s">
        <v>19</v>
      </c>
      <c r="H960">
        <v>4</v>
      </c>
      <c r="I960">
        <v>34000</v>
      </c>
      <c r="J960" s="1">
        <v>44927</v>
      </c>
      <c r="K960" s="1">
        <v>45092</v>
      </c>
      <c r="L960">
        <v>84</v>
      </c>
      <c r="M960">
        <v>352</v>
      </c>
      <c r="N960" t="s">
        <v>20</v>
      </c>
      <c r="O960">
        <v>165</v>
      </c>
    </row>
    <row r="961" spans="1:15" x14ac:dyDescent="0.3">
      <c r="A961">
        <v>960</v>
      </c>
      <c r="B961" t="s">
        <v>995</v>
      </c>
      <c r="C961">
        <v>45</v>
      </c>
      <c r="D961" t="s">
        <v>63</v>
      </c>
      <c r="E961" t="s">
        <v>36</v>
      </c>
      <c r="F961" t="s">
        <v>18</v>
      </c>
      <c r="G961" t="s">
        <v>19</v>
      </c>
      <c r="H961">
        <v>4</v>
      </c>
      <c r="I961">
        <v>80000</v>
      </c>
      <c r="J961" s="1">
        <v>44787</v>
      </c>
      <c r="K961" s="1">
        <v>44820</v>
      </c>
      <c r="L961">
        <v>2428</v>
      </c>
      <c r="M961">
        <v>624</v>
      </c>
      <c r="N961" t="s">
        <v>20</v>
      </c>
      <c r="O961">
        <v>33</v>
      </c>
    </row>
    <row r="962" spans="1:15" x14ac:dyDescent="0.3">
      <c r="A962">
        <v>961</v>
      </c>
      <c r="B962" t="s">
        <v>996</v>
      </c>
      <c r="C962">
        <v>47</v>
      </c>
      <c r="D962" t="s">
        <v>29</v>
      </c>
      <c r="E962" t="s">
        <v>17</v>
      </c>
      <c r="F962" t="s">
        <v>23</v>
      </c>
      <c r="G962" t="s">
        <v>19</v>
      </c>
      <c r="H962">
        <v>5</v>
      </c>
      <c r="I962">
        <v>8500</v>
      </c>
      <c r="J962" s="1">
        <v>45073</v>
      </c>
      <c r="K962" s="1">
        <v>45125</v>
      </c>
      <c r="L962">
        <v>720</v>
      </c>
      <c r="M962">
        <v>319</v>
      </c>
      <c r="N962" t="s">
        <v>20</v>
      </c>
      <c r="O962">
        <v>52</v>
      </c>
    </row>
    <row r="963" spans="1:15" x14ac:dyDescent="0.3">
      <c r="A963">
        <v>962</v>
      </c>
      <c r="B963" t="s">
        <v>997</v>
      </c>
      <c r="C963">
        <v>41</v>
      </c>
      <c r="D963" t="s">
        <v>52</v>
      </c>
      <c r="E963" t="s">
        <v>30</v>
      </c>
      <c r="F963" t="s">
        <v>23</v>
      </c>
      <c r="G963" t="s">
        <v>27</v>
      </c>
      <c r="H963">
        <v>7</v>
      </c>
      <c r="I963">
        <v>60200</v>
      </c>
      <c r="J963" s="1">
        <v>44698</v>
      </c>
      <c r="K963" s="1">
        <v>44868</v>
      </c>
      <c r="L963">
        <v>847</v>
      </c>
      <c r="M963">
        <v>576</v>
      </c>
      <c r="N963" t="s">
        <v>20</v>
      </c>
      <c r="O963">
        <v>170</v>
      </c>
    </row>
    <row r="964" spans="1:15" x14ac:dyDescent="0.3">
      <c r="A964">
        <v>963</v>
      </c>
      <c r="B964" t="s">
        <v>998</v>
      </c>
      <c r="C964">
        <v>22</v>
      </c>
      <c r="D964" t="s">
        <v>29</v>
      </c>
      <c r="E964" t="s">
        <v>36</v>
      </c>
      <c r="F964" t="s">
        <v>23</v>
      </c>
      <c r="G964" t="s">
        <v>19</v>
      </c>
      <c r="H964">
        <v>10</v>
      </c>
      <c r="I964">
        <v>242000</v>
      </c>
      <c r="J964" s="1">
        <v>45021</v>
      </c>
      <c r="K964" s="1">
        <v>45216</v>
      </c>
      <c r="L964">
        <v>1420</v>
      </c>
      <c r="M964">
        <v>228</v>
      </c>
      <c r="N964" t="s">
        <v>20</v>
      </c>
      <c r="O964">
        <v>195</v>
      </c>
    </row>
    <row r="965" spans="1:15" x14ac:dyDescent="0.3">
      <c r="A965">
        <v>964</v>
      </c>
      <c r="B965" t="s">
        <v>999</v>
      </c>
      <c r="C965">
        <v>60</v>
      </c>
      <c r="D965" t="s">
        <v>40</v>
      </c>
      <c r="E965" t="s">
        <v>17</v>
      </c>
      <c r="F965" t="s">
        <v>31</v>
      </c>
      <c r="G965" t="s">
        <v>19</v>
      </c>
      <c r="H965">
        <v>2</v>
      </c>
      <c r="I965">
        <v>2200</v>
      </c>
      <c r="J965" s="1">
        <v>44804</v>
      </c>
      <c r="K965" s="1">
        <v>45181</v>
      </c>
      <c r="L965">
        <v>114</v>
      </c>
      <c r="M965">
        <v>263</v>
      </c>
      <c r="N965" t="s">
        <v>20</v>
      </c>
      <c r="O965">
        <v>377</v>
      </c>
    </row>
    <row r="966" spans="1:15" x14ac:dyDescent="0.3">
      <c r="A966">
        <v>965</v>
      </c>
      <c r="B966" t="s">
        <v>1000</v>
      </c>
      <c r="C966">
        <v>44</v>
      </c>
      <c r="D966" t="s">
        <v>40</v>
      </c>
      <c r="E966" t="s">
        <v>17</v>
      </c>
      <c r="F966" t="s">
        <v>23</v>
      </c>
      <c r="G966" t="s">
        <v>19</v>
      </c>
      <c r="H966">
        <v>8</v>
      </c>
      <c r="I966">
        <v>8800</v>
      </c>
      <c r="J966" s="1">
        <v>44768</v>
      </c>
      <c r="K966" s="1">
        <v>44845</v>
      </c>
      <c r="L966">
        <v>1072</v>
      </c>
      <c r="M966">
        <v>599</v>
      </c>
      <c r="N966" t="s">
        <v>20</v>
      </c>
      <c r="O966">
        <v>77</v>
      </c>
    </row>
    <row r="967" spans="1:15" x14ac:dyDescent="0.3">
      <c r="A967">
        <v>966</v>
      </c>
      <c r="B967" t="s">
        <v>1001</v>
      </c>
      <c r="C967">
        <v>49</v>
      </c>
      <c r="D967" t="s">
        <v>40</v>
      </c>
      <c r="E967" t="s">
        <v>17</v>
      </c>
      <c r="F967" t="s">
        <v>31</v>
      </c>
      <c r="G967" t="s">
        <v>27</v>
      </c>
      <c r="H967">
        <v>6</v>
      </c>
      <c r="I967">
        <v>4800</v>
      </c>
      <c r="J967" s="1">
        <v>44846</v>
      </c>
      <c r="K967" s="1">
        <v>45008</v>
      </c>
      <c r="L967">
        <v>192</v>
      </c>
      <c r="M967">
        <v>436</v>
      </c>
      <c r="N967" t="s">
        <v>20</v>
      </c>
      <c r="O967">
        <v>162</v>
      </c>
    </row>
    <row r="968" spans="1:15" x14ac:dyDescent="0.3">
      <c r="A968">
        <v>967</v>
      </c>
      <c r="B968" t="s">
        <v>1002</v>
      </c>
      <c r="C968">
        <v>42</v>
      </c>
      <c r="D968" t="s">
        <v>22</v>
      </c>
      <c r="E968" t="s">
        <v>30</v>
      </c>
      <c r="F968" t="s">
        <v>23</v>
      </c>
      <c r="G968" t="s">
        <v>19</v>
      </c>
      <c r="H968">
        <v>6</v>
      </c>
      <c r="I968">
        <v>30000</v>
      </c>
      <c r="J968" s="1">
        <v>44772</v>
      </c>
      <c r="K968" s="1">
        <v>45048</v>
      </c>
      <c r="L968">
        <v>678</v>
      </c>
      <c r="M968">
        <v>396</v>
      </c>
      <c r="N968" t="s">
        <v>20</v>
      </c>
      <c r="O968">
        <v>276</v>
      </c>
    </row>
    <row r="969" spans="1:15" x14ac:dyDescent="0.3">
      <c r="A969">
        <v>968</v>
      </c>
      <c r="B969" t="s">
        <v>1003</v>
      </c>
      <c r="C969">
        <v>41</v>
      </c>
      <c r="D969" t="s">
        <v>40</v>
      </c>
      <c r="E969" t="s">
        <v>25</v>
      </c>
      <c r="F969" t="s">
        <v>26</v>
      </c>
      <c r="G969" t="s">
        <v>27</v>
      </c>
      <c r="H969">
        <v>3</v>
      </c>
      <c r="I969">
        <v>8400</v>
      </c>
      <c r="J969" s="1">
        <v>44568</v>
      </c>
      <c r="K969" s="1">
        <v>44601</v>
      </c>
      <c r="L969">
        <v>123</v>
      </c>
      <c r="M969">
        <v>843</v>
      </c>
      <c r="N969" t="s">
        <v>20</v>
      </c>
      <c r="O969">
        <v>33</v>
      </c>
    </row>
    <row r="970" spans="1:15" x14ac:dyDescent="0.3">
      <c r="A970">
        <v>969</v>
      </c>
      <c r="B970" t="s">
        <v>1004</v>
      </c>
      <c r="C970">
        <v>34</v>
      </c>
      <c r="D970" t="s">
        <v>16</v>
      </c>
      <c r="E970" t="s">
        <v>25</v>
      </c>
      <c r="F970" t="s">
        <v>23</v>
      </c>
      <c r="G970" t="s">
        <v>19</v>
      </c>
      <c r="H970">
        <v>3</v>
      </c>
      <c r="I970">
        <v>4200</v>
      </c>
      <c r="J970" s="1">
        <v>44739</v>
      </c>
      <c r="K970" s="1">
        <v>45042</v>
      </c>
      <c r="L970">
        <v>435</v>
      </c>
      <c r="M970">
        <v>402</v>
      </c>
      <c r="N970" t="s">
        <v>20</v>
      </c>
      <c r="O970">
        <v>303</v>
      </c>
    </row>
    <row r="971" spans="1:15" x14ac:dyDescent="0.3">
      <c r="A971">
        <v>970</v>
      </c>
      <c r="B971" t="s">
        <v>1005</v>
      </c>
      <c r="C971">
        <v>50</v>
      </c>
      <c r="D971" t="s">
        <v>40</v>
      </c>
      <c r="E971" t="s">
        <v>25</v>
      </c>
      <c r="F971" t="s">
        <v>23</v>
      </c>
      <c r="G971" t="s">
        <v>33</v>
      </c>
      <c r="H971">
        <v>5</v>
      </c>
      <c r="I971">
        <v>8500</v>
      </c>
      <c r="J971" s="1">
        <v>44764</v>
      </c>
      <c r="K971" s="1">
        <v>44889</v>
      </c>
      <c r="L971">
        <v>685</v>
      </c>
      <c r="M971">
        <v>555</v>
      </c>
      <c r="N971" t="s">
        <v>20</v>
      </c>
      <c r="O971">
        <v>125</v>
      </c>
    </row>
    <row r="972" spans="1:15" x14ac:dyDescent="0.3">
      <c r="A972">
        <v>971</v>
      </c>
      <c r="B972" t="s">
        <v>1006</v>
      </c>
      <c r="C972">
        <v>57</v>
      </c>
      <c r="D972" t="s">
        <v>52</v>
      </c>
      <c r="E972" t="s">
        <v>25</v>
      </c>
      <c r="F972" t="s">
        <v>18</v>
      </c>
      <c r="G972" t="s">
        <v>19</v>
      </c>
      <c r="H972">
        <v>8</v>
      </c>
      <c r="I972">
        <v>40000</v>
      </c>
      <c r="J972" s="1">
        <v>44768</v>
      </c>
      <c r="K972" s="1">
        <v>44907</v>
      </c>
      <c r="L972">
        <v>4960</v>
      </c>
      <c r="M972">
        <v>537</v>
      </c>
      <c r="N972" t="s">
        <v>20</v>
      </c>
      <c r="O972">
        <v>139</v>
      </c>
    </row>
    <row r="973" spans="1:15" x14ac:dyDescent="0.3">
      <c r="A973">
        <v>972</v>
      </c>
      <c r="B973" t="s">
        <v>1007</v>
      </c>
      <c r="C973">
        <v>31</v>
      </c>
      <c r="D973" t="s">
        <v>16</v>
      </c>
      <c r="E973" t="s">
        <v>30</v>
      </c>
      <c r="F973" t="s">
        <v>26</v>
      </c>
      <c r="G973" t="s">
        <v>33</v>
      </c>
      <c r="H973">
        <v>8</v>
      </c>
      <c r="I973">
        <v>52800</v>
      </c>
      <c r="J973" s="1">
        <v>44994</v>
      </c>
      <c r="K973" s="1">
        <v>45252</v>
      </c>
      <c r="L973">
        <v>392</v>
      </c>
      <c r="M973">
        <v>192</v>
      </c>
      <c r="N973" t="s">
        <v>20</v>
      </c>
      <c r="O973">
        <v>258</v>
      </c>
    </row>
    <row r="974" spans="1:15" x14ac:dyDescent="0.3">
      <c r="A974">
        <v>973</v>
      </c>
      <c r="B974" t="s">
        <v>1008</v>
      </c>
      <c r="C974">
        <v>45</v>
      </c>
      <c r="D974" t="s">
        <v>22</v>
      </c>
      <c r="E974" t="s">
        <v>25</v>
      </c>
      <c r="F974" t="s">
        <v>26</v>
      </c>
      <c r="G974" t="s">
        <v>19</v>
      </c>
      <c r="H974">
        <v>7</v>
      </c>
      <c r="I974">
        <v>31500</v>
      </c>
      <c r="J974" s="1">
        <v>44647</v>
      </c>
      <c r="K974" s="1">
        <v>45035</v>
      </c>
      <c r="L974">
        <v>203</v>
      </c>
      <c r="M974">
        <v>409</v>
      </c>
      <c r="N974" t="s">
        <v>20</v>
      </c>
      <c r="O974">
        <v>388</v>
      </c>
    </row>
    <row r="975" spans="1:15" x14ac:dyDescent="0.3">
      <c r="A975">
        <v>974</v>
      </c>
      <c r="B975" t="s">
        <v>1009</v>
      </c>
      <c r="C975">
        <v>50</v>
      </c>
      <c r="D975" t="s">
        <v>52</v>
      </c>
      <c r="E975" t="s">
        <v>25</v>
      </c>
      <c r="F975" t="s">
        <v>18</v>
      </c>
      <c r="G975" t="s">
        <v>33</v>
      </c>
      <c r="H975">
        <v>5</v>
      </c>
      <c r="I975">
        <v>14500</v>
      </c>
      <c r="J975" s="1">
        <v>44852</v>
      </c>
      <c r="K975" s="1">
        <v>45044</v>
      </c>
      <c r="L975">
        <v>3125</v>
      </c>
      <c r="M975">
        <v>400</v>
      </c>
      <c r="N975" t="s">
        <v>20</v>
      </c>
      <c r="O975">
        <v>192</v>
      </c>
    </row>
    <row r="976" spans="1:15" x14ac:dyDescent="0.3">
      <c r="A976">
        <v>975</v>
      </c>
      <c r="B976" t="s">
        <v>1010</v>
      </c>
      <c r="C976">
        <v>51</v>
      </c>
      <c r="D976" t="s">
        <v>46</v>
      </c>
      <c r="E976" t="s">
        <v>17</v>
      </c>
      <c r="F976" t="s">
        <v>18</v>
      </c>
      <c r="G976" t="s">
        <v>19</v>
      </c>
      <c r="H976">
        <v>4</v>
      </c>
      <c r="I976">
        <v>3200</v>
      </c>
      <c r="J976" s="1">
        <v>44756</v>
      </c>
      <c r="K976" s="1">
        <v>44758</v>
      </c>
      <c r="L976">
        <v>2360</v>
      </c>
      <c r="M976">
        <v>686</v>
      </c>
      <c r="N976" t="s">
        <v>20</v>
      </c>
      <c r="O976">
        <v>2</v>
      </c>
    </row>
    <row r="977" spans="1:15" x14ac:dyDescent="0.3">
      <c r="A977">
        <v>976</v>
      </c>
      <c r="B977" t="s">
        <v>1011</v>
      </c>
      <c r="C977">
        <v>46</v>
      </c>
      <c r="D977" t="s">
        <v>29</v>
      </c>
      <c r="E977" t="s">
        <v>36</v>
      </c>
      <c r="F977" t="s">
        <v>26</v>
      </c>
      <c r="G977" t="s">
        <v>33</v>
      </c>
      <c r="H977">
        <v>6</v>
      </c>
      <c r="I977">
        <v>105600</v>
      </c>
      <c r="J977" s="1">
        <v>45063</v>
      </c>
      <c r="K977" s="1">
        <v>45220</v>
      </c>
      <c r="L977">
        <v>282</v>
      </c>
      <c r="M977">
        <v>224</v>
      </c>
      <c r="N977" t="s">
        <v>20</v>
      </c>
      <c r="O977">
        <v>157</v>
      </c>
    </row>
    <row r="978" spans="1:15" x14ac:dyDescent="0.3">
      <c r="A978">
        <v>977</v>
      </c>
      <c r="B978" t="s">
        <v>1012</v>
      </c>
      <c r="C978">
        <v>45</v>
      </c>
      <c r="D978" t="s">
        <v>16</v>
      </c>
      <c r="E978" t="s">
        <v>36</v>
      </c>
      <c r="F978" t="s">
        <v>23</v>
      </c>
      <c r="G978" t="s">
        <v>19</v>
      </c>
      <c r="H978">
        <v>10</v>
      </c>
      <c r="I978">
        <v>103000</v>
      </c>
      <c r="J978" s="1">
        <v>44760</v>
      </c>
      <c r="K978" s="1">
        <v>45150</v>
      </c>
      <c r="L978">
        <v>1370</v>
      </c>
      <c r="M978">
        <v>294</v>
      </c>
      <c r="N978" t="s">
        <v>20</v>
      </c>
      <c r="O978">
        <v>390</v>
      </c>
    </row>
    <row r="979" spans="1:15" x14ac:dyDescent="0.3">
      <c r="A979">
        <v>978</v>
      </c>
      <c r="B979" t="s">
        <v>1013</v>
      </c>
      <c r="C979">
        <v>65</v>
      </c>
      <c r="D979" t="s">
        <v>38</v>
      </c>
      <c r="E979" t="s">
        <v>30</v>
      </c>
      <c r="F979" t="s">
        <v>26</v>
      </c>
      <c r="G979" t="s">
        <v>19</v>
      </c>
      <c r="H979">
        <v>1</v>
      </c>
      <c r="I979">
        <v>8300</v>
      </c>
      <c r="J979" s="1">
        <v>44956</v>
      </c>
      <c r="K979" s="1">
        <v>45430</v>
      </c>
      <c r="L979">
        <v>37</v>
      </c>
      <c r="M979">
        <v>14</v>
      </c>
      <c r="N979" t="s">
        <v>47</v>
      </c>
      <c r="O979">
        <v>474</v>
      </c>
    </row>
    <row r="980" spans="1:15" x14ac:dyDescent="0.3">
      <c r="A980">
        <v>979</v>
      </c>
      <c r="B980" t="s">
        <v>1014</v>
      </c>
      <c r="C980">
        <v>44</v>
      </c>
      <c r="D980" t="s">
        <v>40</v>
      </c>
      <c r="E980" t="s">
        <v>25</v>
      </c>
      <c r="F980" t="s">
        <v>26</v>
      </c>
      <c r="G980" t="s">
        <v>19</v>
      </c>
      <c r="H980">
        <v>1</v>
      </c>
      <c r="I980">
        <v>3900</v>
      </c>
      <c r="J980" s="1">
        <v>44713</v>
      </c>
      <c r="K980" s="1">
        <v>44846</v>
      </c>
      <c r="L980">
        <v>48</v>
      </c>
      <c r="M980">
        <v>598</v>
      </c>
      <c r="N980" t="s">
        <v>20</v>
      </c>
      <c r="O980">
        <v>133</v>
      </c>
    </row>
    <row r="981" spans="1:15" x14ac:dyDescent="0.3">
      <c r="A981">
        <v>980</v>
      </c>
      <c r="B981" t="s">
        <v>1015</v>
      </c>
      <c r="C981">
        <v>59</v>
      </c>
      <c r="D981" t="s">
        <v>46</v>
      </c>
      <c r="E981" t="s">
        <v>25</v>
      </c>
      <c r="F981" t="s">
        <v>18</v>
      </c>
      <c r="G981" t="s">
        <v>19</v>
      </c>
      <c r="H981">
        <v>10</v>
      </c>
      <c r="I981">
        <v>49000</v>
      </c>
      <c r="J981" s="1">
        <v>44727</v>
      </c>
      <c r="K981" s="1">
        <v>44733</v>
      </c>
      <c r="L981">
        <v>5970</v>
      </c>
      <c r="M981">
        <v>711</v>
      </c>
      <c r="N981" t="s">
        <v>20</v>
      </c>
      <c r="O981">
        <v>6</v>
      </c>
    </row>
    <row r="982" spans="1:15" x14ac:dyDescent="0.3">
      <c r="A982">
        <v>981</v>
      </c>
      <c r="B982" t="s">
        <v>1016</v>
      </c>
      <c r="C982">
        <v>26</v>
      </c>
      <c r="D982" t="s">
        <v>16</v>
      </c>
      <c r="E982" t="s">
        <v>36</v>
      </c>
      <c r="F982" t="s">
        <v>26</v>
      </c>
      <c r="G982" t="s">
        <v>27</v>
      </c>
      <c r="H982">
        <v>9</v>
      </c>
      <c r="I982">
        <v>100800</v>
      </c>
      <c r="J982" s="1">
        <v>44995</v>
      </c>
      <c r="K982" s="1">
        <v>45079</v>
      </c>
      <c r="L982">
        <v>333</v>
      </c>
      <c r="M982">
        <v>365</v>
      </c>
      <c r="N982" t="s">
        <v>20</v>
      </c>
      <c r="O982">
        <v>84</v>
      </c>
    </row>
    <row r="983" spans="1:15" x14ac:dyDescent="0.3">
      <c r="A983">
        <v>982</v>
      </c>
      <c r="B983" t="s">
        <v>1017</v>
      </c>
      <c r="C983">
        <v>40</v>
      </c>
      <c r="D983" t="s">
        <v>38</v>
      </c>
      <c r="E983" t="s">
        <v>30</v>
      </c>
      <c r="F983" t="s">
        <v>26</v>
      </c>
      <c r="G983" t="s">
        <v>27</v>
      </c>
      <c r="H983">
        <v>7</v>
      </c>
      <c r="I983">
        <v>64400</v>
      </c>
      <c r="J983" s="1">
        <v>44653</v>
      </c>
      <c r="K983" s="1">
        <v>44708</v>
      </c>
      <c r="L983">
        <v>350</v>
      </c>
      <c r="M983">
        <v>736</v>
      </c>
      <c r="N983" t="s">
        <v>20</v>
      </c>
      <c r="O983">
        <v>55</v>
      </c>
    </row>
    <row r="984" spans="1:15" x14ac:dyDescent="0.3">
      <c r="A984">
        <v>983</v>
      </c>
      <c r="B984" t="s">
        <v>1018</v>
      </c>
      <c r="C984">
        <v>46</v>
      </c>
      <c r="D984" t="s">
        <v>29</v>
      </c>
      <c r="E984" t="s">
        <v>25</v>
      </c>
      <c r="F984" t="s">
        <v>18</v>
      </c>
      <c r="G984" t="s">
        <v>19</v>
      </c>
      <c r="H984">
        <v>5</v>
      </c>
      <c r="I984">
        <v>5000</v>
      </c>
      <c r="J984" s="1">
        <v>44734</v>
      </c>
      <c r="K984" s="1">
        <v>45151</v>
      </c>
      <c r="L984">
        <v>3105</v>
      </c>
      <c r="M984">
        <v>293</v>
      </c>
      <c r="N984" t="s">
        <v>20</v>
      </c>
      <c r="O984">
        <v>417</v>
      </c>
    </row>
    <row r="985" spans="1:15" x14ac:dyDescent="0.3">
      <c r="A985">
        <v>984</v>
      </c>
      <c r="B985" t="s">
        <v>1019</v>
      </c>
      <c r="C985">
        <v>54</v>
      </c>
      <c r="D985" t="s">
        <v>63</v>
      </c>
      <c r="E985" t="s">
        <v>17</v>
      </c>
      <c r="F985" t="s">
        <v>23</v>
      </c>
      <c r="G985" t="s">
        <v>33</v>
      </c>
      <c r="H985">
        <v>7</v>
      </c>
      <c r="I985">
        <v>12600</v>
      </c>
      <c r="J985" s="1">
        <v>44857</v>
      </c>
      <c r="K985" s="1">
        <v>45232</v>
      </c>
      <c r="L985">
        <v>959</v>
      </c>
      <c r="M985">
        <v>212</v>
      </c>
      <c r="N985" t="s">
        <v>20</v>
      </c>
      <c r="O985">
        <v>375</v>
      </c>
    </row>
    <row r="986" spans="1:15" x14ac:dyDescent="0.3">
      <c r="A986">
        <v>985</v>
      </c>
      <c r="B986" t="s">
        <v>1020</v>
      </c>
      <c r="C986">
        <v>29</v>
      </c>
      <c r="D986" t="s">
        <v>52</v>
      </c>
      <c r="E986" t="s">
        <v>25</v>
      </c>
      <c r="F986" t="s">
        <v>18</v>
      </c>
      <c r="G986" t="s">
        <v>19</v>
      </c>
      <c r="H986">
        <v>4</v>
      </c>
      <c r="I986">
        <v>12000</v>
      </c>
      <c r="J986" s="1">
        <v>44748</v>
      </c>
      <c r="K986" s="1">
        <v>45005</v>
      </c>
      <c r="L986">
        <v>2388</v>
      </c>
      <c r="M986">
        <v>439</v>
      </c>
      <c r="N986" t="s">
        <v>20</v>
      </c>
      <c r="O986">
        <v>257</v>
      </c>
    </row>
    <row r="987" spans="1:15" x14ac:dyDescent="0.3">
      <c r="A987">
        <v>986</v>
      </c>
      <c r="B987" t="s">
        <v>1021</v>
      </c>
      <c r="C987">
        <v>24</v>
      </c>
      <c r="D987" t="s">
        <v>46</v>
      </c>
      <c r="E987" t="s">
        <v>25</v>
      </c>
      <c r="F987" t="s">
        <v>31</v>
      </c>
      <c r="G987" t="s">
        <v>19</v>
      </c>
      <c r="H987">
        <v>3</v>
      </c>
      <c r="I987">
        <v>12900</v>
      </c>
      <c r="J987" s="1">
        <v>44758</v>
      </c>
      <c r="K987" s="1">
        <v>44890</v>
      </c>
      <c r="L987">
        <v>168</v>
      </c>
      <c r="M987">
        <v>554</v>
      </c>
      <c r="N987" t="s">
        <v>20</v>
      </c>
      <c r="O987">
        <v>132</v>
      </c>
    </row>
    <row r="988" spans="1:15" x14ac:dyDescent="0.3">
      <c r="A988">
        <v>987</v>
      </c>
      <c r="B988" t="s">
        <v>1022</v>
      </c>
      <c r="C988">
        <v>39</v>
      </c>
      <c r="D988" t="s">
        <v>46</v>
      </c>
      <c r="E988" t="s">
        <v>17</v>
      </c>
      <c r="F988" t="s">
        <v>31</v>
      </c>
      <c r="G988" t="s">
        <v>19</v>
      </c>
      <c r="H988">
        <v>2</v>
      </c>
      <c r="I988">
        <v>2600</v>
      </c>
      <c r="J988" s="1">
        <v>44689</v>
      </c>
      <c r="K988" s="1">
        <v>44830</v>
      </c>
      <c r="L988">
        <v>68</v>
      </c>
      <c r="M988">
        <v>614</v>
      </c>
      <c r="N988" t="s">
        <v>20</v>
      </c>
      <c r="O988">
        <v>141</v>
      </c>
    </row>
    <row r="989" spans="1:15" x14ac:dyDescent="0.3">
      <c r="A989">
        <v>988</v>
      </c>
      <c r="B989" t="s">
        <v>1023</v>
      </c>
      <c r="C989">
        <v>52</v>
      </c>
      <c r="D989" t="s">
        <v>29</v>
      </c>
      <c r="E989" t="s">
        <v>17</v>
      </c>
      <c r="F989" t="s">
        <v>31</v>
      </c>
      <c r="G989" t="s">
        <v>33</v>
      </c>
      <c r="H989">
        <v>2</v>
      </c>
      <c r="I989">
        <v>1000</v>
      </c>
      <c r="J989" s="1">
        <v>44624</v>
      </c>
      <c r="K989" s="1">
        <v>44760</v>
      </c>
      <c r="L989">
        <v>60</v>
      </c>
      <c r="M989">
        <v>684</v>
      </c>
      <c r="N989" t="s">
        <v>20</v>
      </c>
      <c r="O989">
        <v>136</v>
      </c>
    </row>
    <row r="990" spans="1:15" x14ac:dyDescent="0.3">
      <c r="A990">
        <v>989</v>
      </c>
      <c r="B990" t="s">
        <v>1024</v>
      </c>
      <c r="C990">
        <v>21</v>
      </c>
      <c r="D990" t="s">
        <v>63</v>
      </c>
      <c r="E990" t="s">
        <v>17</v>
      </c>
      <c r="F990" t="s">
        <v>31</v>
      </c>
      <c r="G990" t="s">
        <v>27</v>
      </c>
      <c r="H990">
        <v>7</v>
      </c>
      <c r="I990">
        <v>11900</v>
      </c>
      <c r="J990" s="1">
        <v>45094</v>
      </c>
      <c r="K990" s="1">
        <v>45586</v>
      </c>
      <c r="L990">
        <v>329</v>
      </c>
      <c r="M990">
        <v>-142</v>
      </c>
      <c r="N990" t="s">
        <v>47</v>
      </c>
      <c r="O990">
        <v>492</v>
      </c>
    </row>
    <row r="991" spans="1:15" x14ac:dyDescent="0.3">
      <c r="A991">
        <v>990</v>
      </c>
      <c r="B991" t="s">
        <v>1025</v>
      </c>
      <c r="C991">
        <v>48</v>
      </c>
      <c r="D991" t="s">
        <v>46</v>
      </c>
      <c r="E991" t="s">
        <v>36</v>
      </c>
      <c r="F991" t="s">
        <v>18</v>
      </c>
      <c r="G991" t="s">
        <v>27</v>
      </c>
      <c r="H991">
        <v>6</v>
      </c>
      <c r="I991">
        <v>102600</v>
      </c>
      <c r="J991" s="1">
        <v>44913</v>
      </c>
      <c r="K991" s="1">
        <v>45074</v>
      </c>
      <c r="L991">
        <v>3630</v>
      </c>
      <c r="M991">
        <v>370</v>
      </c>
      <c r="N991" t="s">
        <v>20</v>
      </c>
      <c r="O991">
        <v>161</v>
      </c>
    </row>
    <row r="992" spans="1:15" x14ac:dyDescent="0.3">
      <c r="A992">
        <v>991</v>
      </c>
      <c r="B992" t="s">
        <v>1026</v>
      </c>
      <c r="C992">
        <v>24</v>
      </c>
      <c r="D992" t="s">
        <v>29</v>
      </c>
      <c r="E992" t="s">
        <v>36</v>
      </c>
      <c r="F992" t="s">
        <v>26</v>
      </c>
      <c r="G992" t="s">
        <v>27</v>
      </c>
      <c r="H992">
        <v>6</v>
      </c>
      <c r="I992">
        <v>94800</v>
      </c>
      <c r="J992" s="1">
        <v>44664</v>
      </c>
      <c r="K992" s="1">
        <v>44665</v>
      </c>
      <c r="L992">
        <v>234</v>
      </c>
      <c r="M992">
        <v>779</v>
      </c>
      <c r="N992" t="s">
        <v>20</v>
      </c>
      <c r="O992">
        <v>1</v>
      </c>
    </row>
    <row r="993" spans="1:15" x14ac:dyDescent="0.3">
      <c r="A993">
        <v>992</v>
      </c>
      <c r="B993" t="s">
        <v>1027</v>
      </c>
      <c r="C993">
        <v>28</v>
      </c>
      <c r="D993" t="s">
        <v>22</v>
      </c>
      <c r="E993" t="s">
        <v>25</v>
      </c>
      <c r="F993" t="s">
        <v>23</v>
      </c>
      <c r="G993" t="s">
        <v>27</v>
      </c>
      <c r="H993">
        <v>9</v>
      </c>
      <c r="I993">
        <v>18900</v>
      </c>
      <c r="J993" s="1">
        <v>44816</v>
      </c>
      <c r="K993" s="1">
        <v>45004</v>
      </c>
      <c r="L993">
        <v>1242</v>
      </c>
      <c r="M993">
        <v>440</v>
      </c>
      <c r="N993" t="s">
        <v>20</v>
      </c>
      <c r="O993">
        <v>188</v>
      </c>
    </row>
    <row r="994" spans="1:15" x14ac:dyDescent="0.3">
      <c r="A994">
        <v>993</v>
      </c>
      <c r="B994" t="s">
        <v>1028</v>
      </c>
      <c r="C994">
        <v>61</v>
      </c>
      <c r="D994" t="s">
        <v>46</v>
      </c>
      <c r="E994" t="s">
        <v>36</v>
      </c>
      <c r="F994" t="s">
        <v>31</v>
      </c>
      <c r="G994" t="s">
        <v>19</v>
      </c>
      <c r="H994">
        <v>6</v>
      </c>
      <c r="I994">
        <v>33000</v>
      </c>
      <c r="J994" s="1">
        <v>44930</v>
      </c>
      <c r="K994" s="1">
        <v>45377</v>
      </c>
      <c r="L994">
        <v>192</v>
      </c>
      <c r="M994">
        <v>67</v>
      </c>
      <c r="N994" t="s">
        <v>47</v>
      </c>
      <c r="O994">
        <v>447</v>
      </c>
    </row>
    <row r="995" spans="1:15" x14ac:dyDescent="0.3">
      <c r="A995">
        <v>994</v>
      </c>
      <c r="B995" t="s">
        <v>1029</v>
      </c>
      <c r="C995">
        <v>52</v>
      </c>
      <c r="D995" t="s">
        <v>29</v>
      </c>
      <c r="E995" t="s">
        <v>36</v>
      </c>
      <c r="F995" t="s">
        <v>31</v>
      </c>
      <c r="G995" t="s">
        <v>27</v>
      </c>
      <c r="H995">
        <v>7</v>
      </c>
      <c r="I995">
        <v>53900</v>
      </c>
      <c r="J995" s="1">
        <v>44918</v>
      </c>
      <c r="K995" s="1">
        <v>45137</v>
      </c>
      <c r="L995">
        <v>420</v>
      </c>
      <c r="M995">
        <v>307</v>
      </c>
      <c r="N995" t="s">
        <v>20</v>
      </c>
      <c r="O995">
        <v>219</v>
      </c>
    </row>
    <row r="996" spans="1:15" x14ac:dyDescent="0.3">
      <c r="A996">
        <v>995</v>
      </c>
      <c r="B996" t="s">
        <v>1030</v>
      </c>
      <c r="C996">
        <v>33</v>
      </c>
      <c r="D996" t="s">
        <v>16</v>
      </c>
      <c r="E996" t="s">
        <v>36</v>
      </c>
      <c r="F996" t="s">
        <v>18</v>
      </c>
      <c r="G996" t="s">
        <v>27</v>
      </c>
      <c r="H996">
        <v>3</v>
      </c>
      <c r="I996">
        <v>66000</v>
      </c>
      <c r="J996" s="1">
        <v>45147</v>
      </c>
      <c r="K996" s="1">
        <v>45548</v>
      </c>
      <c r="L996">
        <v>1866</v>
      </c>
      <c r="M996">
        <v>-104</v>
      </c>
      <c r="N996" t="s">
        <v>47</v>
      </c>
      <c r="O996">
        <v>401</v>
      </c>
    </row>
    <row r="997" spans="1:15" x14ac:dyDescent="0.3">
      <c r="A997">
        <v>996</v>
      </c>
      <c r="B997" t="s">
        <v>1031</v>
      </c>
      <c r="C997">
        <v>40</v>
      </c>
      <c r="D997" t="s">
        <v>63</v>
      </c>
      <c r="E997" t="s">
        <v>25</v>
      </c>
      <c r="F997" t="s">
        <v>26</v>
      </c>
      <c r="G997" t="s">
        <v>19</v>
      </c>
      <c r="H997">
        <v>9</v>
      </c>
      <c r="I997">
        <v>41400</v>
      </c>
      <c r="J997" s="1">
        <v>45040</v>
      </c>
      <c r="K997" s="1">
        <v>45126</v>
      </c>
      <c r="L997">
        <v>342</v>
      </c>
      <c r="M997">
        <v>318</v>
      </c>
      <c r="N997" t="s">
        <v>20</v>
      </c>
      <c r="O997">
        <v>86</v>
      </c>
    </row>
    <row r="998" spans="1:15" x14ac:dyDescent="0.3">
      <c r="A998">
        <v>997</v>
      </c>
      <c r="B998" t="s">
        <v>1032</v>
      </c>
      <c r="C998">
        <v>34</v>
      </c>
      <c r="D998" t="s">
        <v>16</v>
      </c>
      <c r="E998" t="s">
        <v>36</v>
      </c>
      <c r="F998" t="s">
        <v>31</v>
      </c>
      <c r="G998" t="s">
        <v>19</v>
      </c>
      <c r="H998">
        <v>3</v>
      </c>
      <c r="I998">
        <v>23700</v>
      </c>
      <c r="J998" s="1">
        <v>44670</v>
      </c>
      <c r="K998" s="1">
        <v>44892</v>
      </c>
      <c r="L998">
        <v>93</v>
      </c>
      <c r="M998">
        <v>552</v>
      </c>
      <c r="N998" t="s">
        <v>20</v>
      </c>
      <c r="O998">
        <v>222</v>
      </c>
    </row>
    <row r="999" spans="1:15" x14ac:dyDescent="0.3">
      <c r="A999">
        <v>998</v>
      </c>
      <c r="B999" t="s">
        <v>1033</v>
      </c>
      <c r="C999">
        <v>35</v>
      </c>
      <c r="D999" t="s">
        <v>52</v>
      </c>
      <c r="E999" t="s">
        <v>30</v>
      </c>
      <c r="F999" t="s">
        <v>26</v>
      </c>
      <c r="G999" t="s">
        <v>19</v>
      </c>
      <c r="H999">
        <v>5</v>
      </c>
      <c r="I999">
        <v>42500</v>
      </c>
      <c r="J999" s="1">
        <v>45049</v>
      </c>
      <c r="K999" s="1">
        <v>45536</v>
      </c>
      <c r="L999">
        <v>85</v>
      </c>
      <c r="M999">
        <v>-92</v>
      </c>
      <c r="N999" t="s">
        <v>47</v>
      </c>
      <c r="O999">
        <v>487</v>
      </c>
    </row>
    <row r="1000" spans="1:15" x14ac:dyDescent="0.3">
      <c r="A1000">
        <v>999</v>
      </c>
      <c r="B1000" t="s">
        <v>1034</v>
      </c>
      <c r="C1000">
        <v>35</v>
      </c>
      <c r="D1000" t="s">
        <v>52</v>
      </c>
      <c r="E1000" t="s">
        <v>36</v>
      </c>
      <c r="F1000" t="s">
        <v>23</v>
      </c>
      <c r="G1000" t="s">
        <v>19</v>
      </c>
      <c r="H1000">
        <v>10</v>
      </c>
      <c r="I1000">
        <v>247000</v>
      </c>
      <c r="J1000" s="1">
        <v>44628</v>
      </c>
      <c r="K1000" s="1">
        <v>44957</v>
      </c>
      <c r="L1000">
        <v>1310</v>
      </c>
      <c r="M1000">
        <v>487</v>
      </c>
      <c r="N1000" t="s">
        <v>20</v>
      </c>
      <c r="O1000">
        <v>329</v>
      </c>
    </row>
    <row r="1001" spans="1:15" x14ac:dyDescent="0.3">
      <c r="A1001">
        <v>1000</v>
      </c>
      <c r="B1001" t="s">
        <v>1035</v>
      </c>
      <c r="C1001">
        <v>35</v>
      </c>
      <c r="D1001" t="s">
        <v>22</v>
      </c>
      <c r="E1001" t="s">
        <v>36</v>
      </c>
      <c r="F1001" t="s">
        <v>26</v>
      </c>
      <c r="G1001" t="s">
        <v>19</v>
      </c>
      <c r="H1001">
        <v>5</v>
      </c>
      <c r="I1001">
        <v>44000</v>
      </c>
      <c r="J1001" s="1">
        <v>44859</v>
      </c>
      <c r="K1001" s="1">
        <v>44903</v>
      </c>
      <c r="L1001">
        <v>85</v>
      </c>
      <c r="M1001">
        <v>541</v>
      </c>
      <c r="N1001" t="s">
        <v>20</v>
      </c>
      <c r="O1001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FBD6-BBB3-4505-9144-C9360FF482FB}">
  <dimension ref="A3:O48"/>
  <sheetViews>
    <sheetView topLeftCell="A28" zoomScaleNormal="100" workbookViewId="0">
      <selection activeCell="C45" sqref="C45"/>
    </sheetView>
  </sheetViews>
  <sheetFormatPr defaultRowHeight="14.4" x14ac:dyDescent="0.3"/>
  <cols>
    <col min="1" max="1" width="16.44140625" bestFit="1" customWidth="1"/>
    <col min="2" max="2" width="22.33203125" bestFit="1" customWidth="1"/>
    <col min="3" max="3" width="12.6640625" bestFit="1" customWidth="1"/>
    <col min="4" max="4" width="19.109375" bestFit="1" customWidth="1"/>
    <col min="5" max="5" width="12.6640625" bestFit="1" customWidth="1"/>
    <col min="6" max="6" width="8.88671875" customWidth="1"/>
    <col min="8" max="8" width="11.33203125" bestFit="1" customWidth="1"/>
    <col min="9" max="10" width="14.21875" customWidth="1"/>
    <col min="11" max="11" width="9.88671875" customWidth="1"/>
    <col min="12" max="12" width="10.109375" customWidth="1"/>
    <col min="13" max="13" width="12.6640625" bestFit="1" customWidth="1"/>
    <col min="14" max="14" width="18" bestFit="1" customWidth="1"/>
    <col min="15" max="15" width="15.109375" bestFit="1" customWidth="1"/>
  </cols>
  <sheetData>
    <row r="3" spans="1:11" ht="37.200000000000003" customHeight="1" x14ac:dyDescent="0.3">
      <c r="A3" s="2" t="s">
        <v>1038</v>
      </c>
      <c r="B3" s="18" t="s">
        <v>1039</v>
      </c>
      <c r="C3" s="17" t="s">
        <v>1037</v>
      </c>
      <c r="D3" s="17" t="s">
        <v>1040</v>
      </c>
      <c r="E3" t="s">
        <v>1041</v>
      </c>
      <c r="I3" t="s">
        <v>1041</v>
      </c>
      <c r="J3" s="16" t="s">
        <v>1045</v>
      </c>
      <c r="K3" s="16" t="s">
        <v>1046</v>
      </c>
    </row>
    <row r="4" spans="1:11" x14ac:dyDescent="0.3">
      <c r="A4" s="3" t="s">
        <v>36</v>
      </c>
      <c r="B4" s="4">
        <v>85288.934426229505</v>
      </c>
      <c r="C4" s="8">
        <v>0.24399999999999999</v>
      </c>
      <c r="D4" s="5">
        <v>5.4836065573770494</v>
      </c>
      <c r="E4" s="7">
        <v>20810500</v>
      </c>
      <c r="H4" s="3" t="s">
        <v>26</v>
      </c>
      <c r="I4" s="7">
        <v>9589200</v>
      </c>
      <c r="J4" s="7">
        <v>46111</v>
      </c>
      <c r="K4" s="9">
        <v>4.8086388854127558E-3</v>
      </c>
    </row>
    <row r="5" spans="1:11" x14ac:dyDescent="0.3">
      <c r="A5" s="3" t="s">
        <v>30</v>
      </c>
      <c r="B5" s="4">
        <v>37553.112033195022</v>
      </c>
      <c r="C5" s="8">
        <v>0.24099999999999999</v>
      </c>
      <c r="D5" s="5">
        <v>5.7510373443983402</v>
      </c>
      <c r="E5" s="7">
        <v>9050300</v>
      </c>
      <c r="H5" s="3" t="s">
        <v>31</v>
      </c>
      <c r="I5" s="7">
        <v>6664200</v>
      </c>
      <c r="J5" s="7">
        <v>57012</v>
      </c>
      <c r="K5" s="9">
        <v>8.5549653371747546E-3</v>
      </c>
    </row>
    <row r="6" spans="1:11" x14ac:dyDescent="0.3">
      <c r="A6" s="3" t="s">
        <v>25</v>
      </c>
      <c r="B6" s="4">
        <v>16164.750957854407</v>
      </c>
      <c r="C6" s="8">
        <v>0.26100000000000001</v>
      </c>
      <c r="D6" s="5">
        <v>5.6360153256704981</v>
      </c>
      <c r="E6" s="7">
        <v>4219000</v>
      </c>
      <c r="H6" s="3" t="s">
        <v>23</v>
      </c>
      <c r="I6" s="7">
        <v>8897700</v>
      </c>
      <c r="J6" s="7">
        <v>183081</v>
      </c>
      <c r="K6" s="9">
        <v>2.0576216325567283E-2</v>
      </c>
    </row>
    <row r="7" spans="1:11" x14ac:dyDescent="0.3">
      <c r="A7" s="3" t="s">
        <v>17</v>
      </c>
      <c r="B7" s="4">
        <v>6869.2913385826769</v>
      </c>
      <c r="C7" s="8">
        <v>0.254</v>
      </c>
      <c r="D7" s="5">
        <v>5.4488188976377954</v>
      </c>
      <c r="E7" s="7">
        <v>1744800</v>
      </c>
      <c r="H7" s="3" t="s">
        <v>18</v>
      </c>
      <c r="I7" s="7">
        <v>10673500</v>
      </c>
      <c r="J7" s="7">
        <v>973155</v>
      </c>
      <c r="K7" s="9">
        <v>9.1174872347402444E-2</v>
      </c>
    </row>
    <row r="8" spans="1:11" x14ac:dyDescent="0.3">
      <c r="D8" s="6" t="s">
        <v>1041</v>
      </c>
      <c r="E8" s="10" t="str">
        <f>"₹"&amp;TEXT(SUM(E4:E7)/10000000,"0.00")&amp;" Cr"</f>
        <v>₹3.58 Cr</v>
      </c>
      <c r="J8" s="6" t="s">
        <v>1049</v>
      </c>
      <c r="K8" s="6" t="str">
        <f>H4</f>
        <v>Referral</v>
      </c>
    </row>
    <row r="12" spans="1:11" x14ac:dyDescent="0.3">
      <c r="A12" s="2" t="s">
        <v>1044</v>
      </c>
      <c r="B12" s="2" t="s">
        <v>1043</v>
      </c>
    </row>
    <row r="13" spans="1:11" x14ac:dyDescent="0.3">
      <c r="A13" s="2" t="s">
        <v>1042</v>
      </c>
      <c r="B13" t="s">
        <v>47</v>
      </c>
      <c r="C13" t="s">
        <v>20</v>
      </c>
    </row>
    <row r="14" spans="1:11" x14ac:dyDescent="0.3">
      <c r="A14" s="3" t="s">
        <v>23</v>
      </c>
      <c r="B14" s="8">
        <v>0.30645161290322581</v>
      </c>
      <c r="C14" s="8">
        <v>0.69354838709677424</v>
      </c>
      <c r="H14" s="2" t="s">
        <v>1047</v>
      </c>
      <c r="I14" t="s">
        <v>1041</v>
      </c>
      <c r="J14" t="s">
        <v>1037</v>
      </c>
      <c r="K14" t="s">
        <v>1048</v>
      </c>
    </row>
    <row r="15" spans="1:11" x14ac:dyDescent="0.3">
      <c r="A15" s="3" t="s">
        <v>31</v>
      </c>
      <c r="B15" s="8">
        <v>0.29629629629629628</v>
      </c>
      <c r="C15" s="8">
        <v>0.70370370370370372</v>
      </c>
      <c r="H15" s="3" t="s">
        <v>19</v>
      </c>
      <c r="I15" s="7">
        <v>21929600</v>
      </c>
      <c r="J15">
        <v>603</v>
      </c>
      <c r="K15" s="8">
        <v>0.60299999999999998</v>
      </c>
    </row>
    <row r="16" spans="1:11" x14ac:dyDescent="0.3">
      <c r="A16" s="3" t="s">
        <v>18</v>
      </c>
      <c r="B16" s="8">
        <v>0.2733812949640288</v>
      </c>
      <c r="C16" s="8">
        <v>0.72661870503597126</v>
      </c>
      <c r="H16" s="3" t="s">
        <v>27</v>
      </c>
      <c r="I16" s="7">
        <v>6920300</v>
      </c>
      <c r="J16">
        <v>194</v>
      </c>
      <c r="K16" s="8">
        <v>0.19400000000000001</v>
      </c>
    </row>
    <row r="17" spans="1:11" x14ac:dyDescent="0.3">
      <c r="A17" s="3" t="s">
        <v>26</v>
      </c>
      <c r="B17" s="8">
        <v>0.2558139534883721</v>
      </c>
      <c r="C17" s="8">
        <v>0.7441860465116279</v>
      </c>
      <c r="H17" s="3" t="s">
        <v>33</v>
      </c>
      <c r="I17" s="7">
        <v>6974700</v>
      </c>
      <c r="J17">
        <v>203</v>
      </c>
      <c r="K17" s="8">
        <v>0.20300000000000001</v>
      </c>
    </row>
    <row r="18" spans="1:11" x14ac:dyDescent="0.3">
      <c r="A18" s="6" t="s">
        <v>1050</v>
      </c>
      <c r="B18" s="11">
        <f>AVERAGE(B14:B17)</f>
        <v>0.28298578941298075</v>
      </c>
      <c r="C18" s="11">
        <f>AVERAGE(C14:C17)</f>
        <v>0.71701421058701931</v>
      </c>
      <c r="H18" s="3" t="s">
        <v>1036</v>
      </c>
      <c r="I18" s="7">
        <v>35824600</v>
      </c>
      <c r="J18">
        <v>1000</v>
      </c>
      <c r="K18" s="8">
        <v>1</v>
      </c>
    </row>
    <row r="36" spans="1:15" x14ac:dyDescent="0.3">
      <c r="A36" t="s">
        <v>1038</v>
      </c>
      <c r="B36" t="s">
        <v>1039</v>
      </c>
      <c r="H36" t="s">
        <v>1047</v>
      </c>
      <c r="I36" t="s">
        <v>1048</v>
      </c>
    </row>
    <row r="37" spans="1:15" x14ac:dyDescent="0.3">
      <c r="A37" t="s">
        <v>36</v>
      </c>
      <c r="B37" s="12">
        <v>85288.934426229505</v>
      </c>
      <c r="H37" t="s">
        <v>19</v>
      </c>
      <c r="I37" s="13">
        <v>0.60299999999999998</v>
      </c>
    </row>
    <row r="38" spans="1:15" x14ac:dyDescent="0.3">
      <c r="A38" t="s">
        <v>30</v>
      </c>
      <c r="B38" s="12">
        <v>37553.112033195022</v>
      </c>
      <c r="H38" t="s">
        <v>27</v>
      </c>
      <c r="I38" s="13">
        <v>0.19400000000000001</v>
      </c>
    </row>
    <row r="39" spans="1:15" x14ac:dyDescent="0.3">
      <c r="A39" t="s">
        <v>25</v>
      </c>
      <c r="B39" s="12">
        <v>16164.750957854407</v>
      </c>
      <c r="H39" t="s">
        <v>33</v>
      </c>
      <c r="I39" s="13">
        <v>0.20300000000000001</v>
      </c>
    </row>
    <row r="40" spans="1:15" x14ac:dyDescent="0.3">
      <c r="A40" t="s">
        <v>17</v>
      </c>
      <c r="B40" s="12">
        <v>6869.2913385826769</v>
      </c>
    </row>
    <row r="44" spans="1:15" x14ac:dyDescent="0.3">
      <c r="A44" t="s">
        <v>1038</v>
      </c>
      <c r="B44" t="s">
        <v>1037</v>
      </c>
      <c r="C44" t="s">
        <v>1041</v>
      </c>
      <c r="M44" s="14"/>
      <c r="N44" s="14"/>
      <c r="O44" s="15"/>
    </row>
    <row r="45" spans="1:15" x14ac:dyDescent="0.3">
      <c r="A45" t="s">
        <v>36</v>
      </c>
      <c r="B45" s="17">
        <v>244</v>
      </c>
      <c r="C45" s="14">
        <v>20810500</v>
      </c>
      <c r="M45" s="14"/>
      <c r="N45" s="14"/>
      <c r="O45" s="15"/>
    </row>
    <row r="46" spans="1:15" x14ac:dyDescent="0.3">
      <c r="A46" t="s">
        <v>30</v>
      </c>
      <c r="B46" s="17">
        <v>241</v>
      </c>
      <c r="C46" s="14">
        <v>9050300</v>
      </c>
      <c r="M46" s="14"/>
      <c r="N46" s="14"/>
      <c r="O46" s="15"/>
    </row>
    <row r="47" spans="1:15" x14ac:dyDescent="0.3">
      <c r="A47" t="s">
        <v>25</v>
      </c>
      <c r="B47" s="17">
        <v>261</v>
      </c>
      <c r="C47" s="14">
        <v>4219000</v>
      </c>
      <c r="M47" s="14"/>
      <c r="N47" s="14"/>
      <c r="O47" s="15"/>
    </row>
    <row r="48" spans="1:15" x14ac:dyDescent="0.3">
      <c r="A48" t="s">
        <v>17</v>
      </c>
      <c r="B48" s="17">
        <v>254</v>
      </c>
      <c r="C48" s="14">
        <v>1744800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C46E-07C4-4FFB-B601-AD3346D49611}">
  <dimension ref="N26"/>
  <sheetViews>
    <sheetView showGridLines="0" showRowColHeaders="0" tabSelected="1" workbookViewId="0">
      <selection activeCell="R2" sqref="R2"/>
    </sheetView>
  </sheetViews>
  <sheetFormatPr defaultRowHeight="14.4" x14ac:dyDescent="0.3"/>
  <cols>
    <col min="17" max="17" width="11.33203125" bestFit="1" customWidth="1"/>
    <col min="18" max="18" width="12.6640625" bestFit="1" customWidth="1"/>
    <col min="19" max="19" width="18.44140625" bestFit="1" customWidth="1"/>
    <col min="20" max="20" width="15.33203125" bestFit="1" customWidth="1"/>
  </cols>
  <sheetData>
    <row r="26" spans="14:14" x14ac:dyDescent="0.3">
      <c r="N26" t="s">
        <v>1051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05D05-9C34-43D9-8E06-846DE77679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Yadav</dc:creator>
  <cp:lastModifiedBy>Himanshu Yadav</cp:lastModifiedBy>
  <dcterms:created xsi:type="dcterms:W3CDTF">2026-04-19T05:11:40Z</dcterms:created>
  <dcterms:modified xsi:type="dcterms:W3CDTF">2026-04-19T15:52:51Z</dcterms:modified>
</cp:coreProperties>
</file>